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CE AQUI" sheetId="1" state="visible" r:id="rId1"/>
    <sheet name="PARAMETROS" sheetId="2" state="visible" r:id="rId2"/>
    <sheet name="MAPA DO PROJETO" sheetId="3" state="visible" r:id="rId3"/>
    <sheet name="ORÇAMENTO" sheetId="4" state="visible" r:id="rId4"/>
    <sheet name="CRONOGRAMA" sheetId="5" state="visible" r:id="rId5"/>
    <sheet name="DISTRIBUICAO" sheetId="6" state="visible" r:id="rId6"/>
    <sheet name="RADAR DE LIMITES" sheetId="7" state="visible" r:id="rId7"/>
    <sheet name="MATRIZ CONSISTENCIA" sheetId="8" state="visible" r:id="rId8"/>
    <sheet name="CHECKLIST SALIC" sheetId="9" state="visible" r:id="rId9"/>
    <sheet name="CHECKLIST DOCUMENTOS" sheetId="10" state="visible" r:id="rId10"/>
    <sheet name="CHECKLIST FINAL" sheetId="11" state="visible" r:id="rId11"/>
    <sheet name="CONTROLE NORMATIVO" sheetId="12" state="visible" r:id="rId12"/>
  </sheets>
  <definedNames>
    <definedName name="L_REM_GERAL">PARAMETROS!$B$5</definedName>
    <definedName name="L_REM_PFMEI">PARAMETROS!$B$6</definedName>
    <definedName name="L_FORNECEDOR">PARAMETROS!$B$7</definedName>
    <definedName name="L_ADM">PARAMETROS!$B$8</definedName>
    <definedName name="L_ACESS">PARAMETROS!$B$9</definedName>
    <definedName name="L_DIVULG">PARAMETROS!$B$10</definedName>
    <definedName name="L_CAPT_PCT">PARAMETROS!$B$11</definedName>
    <definedName name="L_CAPT_TETO">PARAMETROS!$B$12</definedName>
    <definedName name="L_CACHE_SOLO">PARAMETROS!$B$13</definedName>
    <definedName name="L_CACHE_GRUPO">PARAMETROS!$B$14</definedName>
    <definedName name="L_CACHE_MUSICO">PARAMETROS!$B$15</definedName>
    <definedName name="L_CACHE_MAESTRO">PARAMETROS!$B$16</definedName>
    <definedName name="L_CACHE_PALESTRA">PARAMETROS!$B$17</definedName>
    <definedName name="L_INICIANTE">PARAMETROS!$B$18</definedName>
    <definedName name="L_DIST_PATROC">PARAMETROS!$B$19</definedName>
    <definedName name="L_DIST_PROPON">PARAMETROS!$B$20</definedName>
    <definedName name="L_DIST_SOCIAL">PARAMETROS!$B$21</definedName>
    <definedName name="L_DIST_POPULAR">PARAMETROS!$B$22</definedName>
    <definedName name="L_PRECO_POPULAR">PARAMETROS!$B$23</definedName>
    <definedName name="L_TICKET_MEDIO">PARAMETROS!$B$24</definedName>
    <definedName name="L_PF_QTD">PARAMETROS!$B$25</definedName>
    <definedName name="L_PF_TETO">PARAMETROS!$B$26</definedName>
    <definedName name="L_MEI_QTD">PARAMETROS!$B$27</definedName>
    <definedName name="L_MEI_TETO">PARAMETROS!$B$28</definedName>
    <definedName name="L_PJ_QTD">PARAMETROS!$B$29</definedName>
    <definedName name="L_PJ_TETO">PARAMETROS!$B$30</definedName>
    <definedName name="MARGEM">PARAMETROS!$B$31</definedName>
    <definedName name="LISTA_CATEGORIAS">PARAMETROS!$I$5:$I$17</definedName>
    <definedName name="TAB_CATEGORIAS">PARAMETROS!$I$5:$J$17</definedName>
    <definedName name="LISTA_ETAPAS">PARAMETROS!$L$5:$L$12</definedName>
    <definedName name="VALOR_INCENTIVO">'ORÇAMENTO'!$C$3</definedName>
    <definedName name="VALOR_OUTRAS">'ORÇAMENTO'!$C$4</definedName>
    <definedName name="VALOR_TOTAL">'ORÇAMENTO'!$C$5</definedName>
    <definedName name="DIST_STATUS1">DISTRIBUICAO!$G$7</definedName>
    <definedName name="VALOR_PROJETO">'RADAR DE LIMITES'!$B$9</definedName>
    <definedName name="VALOR_CAPTADO">'RADAR DE LIMITES'!$B$12</definedName>
    <definedName name="TIPO_PROP">'RADAR DE LIMITES'!$B$5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R$ #,##0.00"/>
    <numFmt numFmtId="166" formatCode="DD/MM/YYYY"/>
    <numFmt numFmtId="167" formatCode="MMM/YY"/>
    <numFmt numFmtId="168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06A"/>
    </font>
    <font>
      <b val="1"/>
      <color rgb="00FFFFFF"/>
    </font>
    <font>
      <b val="1"/>
    </font>
    <font>
      <b val="1"/>
      <color rgb="00E85D04"/>
      <sz val="13"/>
    </font>
    <font>
      <b val="1"/>
      <sz val="13"/>
    </font>
    <font>
      <b val="1"/>
      <color rgb="00E85D04"/>
      <sz val="12"/>
    </font>
  </fonts>
  <fills count="10">
    <fill>
      <patternFill/>
    </fill>
    <fill>
      <patternFill patternType="gray125"/>
    </fill>
    <fill>
      <patternFill patternType="solid">
        <fgColor rgb="00E85D04"/>
      </patternFill>
    </fill>
    <fill>
      <patternFill patternType="solid">
        <fgColor rgb="001F2A44"/>
      </patternFill>
    </fill>
    <fill>
      <patternFill patternType="solid">
        <fgColor rgb="00FFF6D5"/>
      </patternFill>
    </fill>
    <fill>
      <patternFill patternType="solid">
        <fgColor rgb="00EEF1F5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44506A"/>
      </patternFill>
    </fill>
  </fills>
  <borders count="2">
    <border>
      <left/>
      <right/>
      <top/>
      <bottom/>
      <diagonal/>
    </border>
    <border>
      <left style="thin">
        <color rgb="00B8C0CC"/>
      </left>
      <right style="thin">
        <color rgb="00B8C0CC"/>
      </right>
      <top style="thin">
        <color rgb="00B8C0CC"/>
      </top>
      <bottom style="thin">
        <color rgb="00B8C0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vertical="top" wrapText="1"/>
    </xf>
    <xf numFmtId="165" fontId="0" fillId="0" borderId="0" pivotButton="0" quotePrefix="0" xfId="0"/>
    <xf numFmtId="165" fontId="0" fillId="4" borderId="1" applyAlignment="1" pivotButton="0" quotePrefix="0" xfId="0">
      <alignment vertical="top" wrapText="1"/>
    </xf>
    <xf numFmtId="1" fontId="0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5" fontId="4" fillId="5" borderId="0" pivotButton="0" quotePrefix="0" xfId="0"/>
    <xf numFmtId="0" fontId="4" fillId="5" borderId="0" pivotButton="0" quotePrefix="0" xfId="0"/>
    <xf numFmtId="0" fontId="3" fillId="9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6" fontId="0" fillId="4" borderId="1" pivotButton="0" quotePrefix="0" xfId="0"/>
    <xf numFmtId="167" fontId="3" fillId="3" borderId="0" applyAlignment="1" pivotButton="0" quotePrefix="0" xfId="0">
      <alignment horizontal="center" vertical="center" wrapText="1"/>
    </xf>
    <xf numFmtId="166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165" fontId="0" fillId="4" borderId="0" pivotButton="0" quotePrefix="0" xfId="0"/>
    <xf numFmtId="165" fontId="0" fillId="5" borderId="0" pivotButton="0" quotePrefix="0" xfId="0"/>
    <xf numFmtId="0" fontId="0" fillId="4" borderId="1" pivotButton="0" quotePrefix="0" xfId="0"/>
    <xf numFmtId="165" fontId="0" fillId="5" borderId="1" pivotButton="0" quotePrefix="0" xfId="0"/>
    <xf numFmtId="165" fontId="0" fillId="4" borderId="1" pivotButton="0" quotePrefix="0" xfId="0"/>
    <xf numFmtId="164" fontId="0" fillId="4" borderId="1" pivotButton="0" quotePrefix="0" xfId="0"/>
    <xf numFmtId="1" fontId="0" fillId="4" borderId="1" pivotButton="0" quotePrefix="0" xfId="0"/>
    <xf numFmtId="3" fontId="0" fillId="4" borderId="1" pivotButton="0" quotePrefix="0" xfId="0"/>
    <xf numFmtId="165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7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9" fontId="0" fillId="0" borderId="1" pivotButton="0" quotePrefix="0" xfId="0"/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D4EDDA"/>
        </patternFill>
      </fill>
    </dxf>
    <dxf>
      <font>
        <color rgb="00E85D04"/>
      </font>
      <fill>
        <patternFill patternType="solid">
          <fgColor rgb="00E85D0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0" customWidth="1" min="3" max="3"/>
    <col width="16" customWidth="1" min="4" max="4"/>
  </cols>
  <sheetData>
    <row r="1" ht="30" customHeight="1">
      <c r="A1" s="1" t="inlineStr">
        <is>
          <t>ROUANET 31/10 — Planilhas de Execução</t>
        </is>
      </c>
    </row>
    <row r="2" ht="45" customHeight="1">
      <c r="A2" s="2" t="inlineStr">
        <is>
          <t>Kit de organização e conferência. Não garante aprovação nem captação. Base normativa: Lei 8.313/1991, Decreto 11.453/2023 e IN MinC nº 29/2026 (verificação: 25/09/2026). Sempre confira a norma vigente no site do Ministério da Cultura.</t>
        </is>
      </c>
    </row>
    <row r="4">
      <c r="A4" s="3" t="inlineStr">
        <is>
          <t>ORDEM</t>
        </is>
      </c>
      <c r="B4" s="3" t="inlineStr">
        <is>
          <t>ABA</t>
        </is>
      </c>
      <c r="C4" s="3" t="inlineStr">
        <is>
          <t>O QUE FAZER</t>
        </is>
      </c>
      <c r="D4" s="3" t="inlineStr">
        <is>
          <t>TEMPO</t>
        </is>
      </c>
    </row>
    <row r="5">
      <c r="A5" s="4" t="inlineStr">
        <is>
          <t>1</t>
        </is>
      </c>
      <c r="B5" s="4" t="inlineStr">
        <is>
          <t>PARAMETROS</t>
        </is>
      </c>
      <c r="C5" s="4" t="inlineStr">
        <is>
          <t>Confira se os limites estão iguais aos da norma vigente. Só altere se a norma mudar (células amarelas).</t>
        </is>
      </c>
      <c r="D5" s="4" t="inlineStr">
        <is>
          <t>5 min</t>
        </is>
      </c>
    </row>
    <row r="6">
      <c r="A6" s="4" t="inlineStr">
        <is>
          <t>2</t>
        </is>
      </c>
      <c r="B6" s="4" t="inlineStr">
        <is>
          <t>MAPA DO PROJETO</t>
        </is>
      </c>
      <c r="C6" s="4" t="inlineStr">
        <is>
          <t>Preencha a ideia do projeto campo a campo. É o texto-base do Salic.</t>
        </is>
      </c>
      <c r="D6" s="4" t="inlineStr">
        <is>
          <t>2–3 h</t>
        </is>
      </c>
    </row>
    <row r="7">
      <c r="A7" s="4" t="inlineStr">
        <is>
          <t>3</t>
        </is>
      </c>
      <c r="B7" s="4" t="inlineStr">
        <is>
          <t>ORÇAMENTO</t>
        </is>
      </c>
      <c r="C7" s="4" t="inlineStr">
        <is>
          <t>Lance cada despesa. Preencha também as colunas cinza de conferência (categoria, vínculo, preço, dupla cobertura).</t>
        </is>
      </c>
      <c r="D7" s="4" t="inlineStr">
        <is>
          <t>2–4 h</t>
        </is>
      </c>
    </row>
    <row r="8">
      <c r="A8" s="4" t="inlineStr">
        <is>
          <t>4</t>
        </is>
      </c>
      <c r="B8" s="4" t="inlineStr">
        <is>
          <t>CRONOGRAMA</t>
        </is>
      </c>
      <c r="C8" s="4" t="inlineStr">
        <is>
          <t>Lance as atividades com início e fim. O gráfico de barras e os alertas aparecem sozinhos.</t>
        </is>
      </c>
      <c r="D8" s="4" t="inlineStr">
        <is>
          <t>1 h</t>
        </is>
      </c>
    </row>
    <row r="9">
      <c r="A9" s="4" t="inlineStr">
        <is>
          <t>5</t>
        </is>
      </c>
      <c r="B9" s="4" t="inlineStr">
        <is>
          <t>DISTRIBUICAO</t>
        </is>
      </c>
      <c r="C9" s="4" t="inlineStr">
        <is>
          <t>Informe quantos ingressos/produtos existem e como serão distribuídos.</t>
        </is>
      </c>
      <c r="D9" s="4" t="inlineStr">
        <is>
          <t>30 min</t>
        </is>
      </c>
    </row>
    <row r="10">
      <c r="A10" s="4" t="inlineStr">
        <is>
          <t>6</t>
        </is>
      </c>
      <c r="B10" s="4" t="inlineStr">
        <is>
          <t>RADAR DE LIMITES</t>
        </is>
      </c>
      <c r="C10" s="4" t="inlineStr">
        <is>
          <t>Informe tipo de proponente e cenário de captação. Leia os status 🟢🟡🔴.</t>
        </is>
      </c>
      <c r="D10" s="4" t="inlineStr">
        <is>
          <t>20 min</t>
        </is>
      </c>
    </row>
    <row r="11">
      <c r="A11" s="4" t="inlineStr">
        <is>
          <t>7</t>
        </is>
      </c>
      <c r="B11" s="4" t="inlineStr">
        <is>
          <t>MATRIZ CONSISTENCIA</t>
        </is>
      </c>
      <c r="C11" s="4" t="inlineStr">
        <is>
          <t>Ligue cada objetivo a meta, produto, despesa, atividade e público.</t>
        </is>
      </c>
      <c r="D11" s="4" t="inlineStr">
        <is>
          <t>40 min</t>
        </is>
      </c>
    </row>
    <row r="12">
      <c r="A12" s="4" t="inlineStr">
        <is>
          <t>8</t>
        </is>
      </c>
      <c r="B12" s="4" t="inlineStr">
        <is>
          <t>CHECKLIST DOCUMENTOS</t>
        </is>
      </c>
      <c r="C12" s="4" t="inlineStr">
        <is>
          <t>Marque o que se aplica e o que você já tem.</t>
        </is>
      </c>
      <c r="D12" s="4" t="inlineStr">
        <is>
          <t>30 min</t>
        </is>
      </c>
    </row>
    <row r="13">
      <c r="A13" s="4" t="inlineStr">
        <is>
          <t>9</t>
        </is>
      </c>
      <c r="B13" s="4" t="inlineStr">
        <is>
          <t>CHECKLIST SALIC</t>
        </is>
      </c>
      <c r="C13" s="4" t="inlineStr">
        <is>
          <t>Use ao preencher o sistema, etapa por etapa.</t>
        </is>
      </c>
      <c r="D13" s="4" t="inlineStr">
        <is>
          <t>durante o Salic</t>
        </is>
      </c>
    </row>
    <row r="14">
      <c r="A14" s="4" t="inlineStr">
        <is>
          <t>10</t>
        </is>
      </c>
      <c r="B14" s="4" t="inlineStr">
        <is>
          <t>CHECKLIST FINAL</t>
        </is>
      </c>
      <c r="C14" s="4" t="inlineStr">
        <is>
          <t>50 verificações antes de clicar em enviar. Meta: zero 'NÃO'.</t>
        </is>
      </c>
      <c r="D14" s="4" t="inlineStr">
        <is>
          <t>40 min</t>
        </is>
      </c>
    </row>
    <row r="15">
      <c r="A15" s="4" t="inlineStr">
        <is>
          <t>11</t>
        </is>
      </c>
      <c r="B15" s="4" t="inlineStr">
        <is>
          <t>CONTROLE NORMATIVO</t>
        </is>
      </c>
      <c r="C15" s="4" t="inlineStr">
        <is>
          <t>Registre a data em que você conferiu a norma oficial.</t>
        </is>
      </c>
      <c r="D15" s="4" t="inlineStr">
        <is>
          <t>5 min</t>
        </is>
      </c>
    </row>
    <row r="17">
      <c r="A17" s="5" t="inlineStr">
        <is>
          <t>LEGENDA DE CORES</t>
        </is>
      </c>
    </row>
    <row r="18">
      <c r="A18" s="6" t="n"/>
      <c r="B18" t="inlineStr">
        <is>
          <t>Amarelo claro = você preenche</t>
        </is>
      </c>
    </row>
    <row r="19">
      <c r="A19" s="7" t="n"/>
      <c r="B19" t="inlineStr">
        <is>
          <t>Cinza = fórmula automática (não apague)</t>
        </is>
      </c>
    </row>
    <row r="20">
      <c r="A20" s="8" t="n"/>
      <c r="B20" t="inlineStr">
        <is>
          <t>🟢 = dentro do limite / conferido / coerente</t>
        </is>
      </c>
    </row>
    <row r="21">
      <c r="A21" s="9" t="n"/>
      <c r="B21" t="inlineStr">
        <is>
          <t>🟡 = verificar / revisar (perto do limite ou informação faltando)</t>
        </is>
      </c>
    </row>
    <row r="22">
      <c r="A22" s="10" t="n"/>
      <c r="B22" t="inlineStr">
        <is>
          <t>🔴 = acima do limite / risco alto / inconsistente</t>
        </is>
      </c>
    </row>
    <row r="24">
      <c r="A24" s="11" t="inlineStr">
        <is>
          <t>REGRA DE OURO</t>
        </is>
      </c>
      <c r="B24" s="12" t="inlineStr">
        <is>
          <t>SE NÃO CONSIGO EXPLICAR POR QUE ESSA DESPESA EXISTE, NÃO COLOQUE A DESPESA.</t>
        </is>
      </c>
    </row>
    <row r="26">
      <c r="A26" s="13" t="inlineStr">
        <is>
          <t>IMPORTANTE: as calculadoras são ferramentas de CONFERÊNCIA prévia. O Salic aplica as fórmulas oficiais e o Ministério da Cultura faz a análise técnica. 🟢 na planilha não significa aprovação — significa apenas que o número informado está dentro do limite configurado na aba PARAMETROS.</t>
        </is>
      </c>
    </row>
    <row r="27"/>
    <row r="28"/>
  </sheetData>
  <mergeCells count="4">
    <mergeCell ref="A1:D1"/>
    <mergeCell ref="B24:D24"/>
    <mergeCell ref="A26:D28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22" customWidth="1" min="3" max="3"/>
    <col width="34" customWidth="1" min="4" max="4"/>
    <col width="60" customWidth="1" min="5" max="5"/>
    <col width="34" customWidth="1" min="6" max="6"/>
    <col width="26" customWidth="1" min="7" max="7"/>
    <col width="46" customWidth="1" min="9" max="9"/>
    <col width="16" customWidth="1" min="10" max="10"/>
    <col width="28" customWidth="1" min="12" max="12"/>
  </cols>
  <sheetData>
    <row r="1" ht="30" customHeight="1">
      <c r="A1" s="1" t="inlineStr">
        <is>
          <t>PARÂMETROS NORMATIVOS (IN MinC nº 29/2026)</t>
        </is>
      </c>
    </row>
    <row r="2" ht="45" customHeight="1">
      <c r="A2" s="2" t="inlineStr">
        <is>
          <t>Células amarelas = limites usados por todas as calculadoras. Confira cada linha no texto oficial antes de usar. Se a norma mudar, altere aqui.</t>
        </is>
      </c>
    </row>
    <row r="4" ht="42" customHeight="1">
      <c r="A4" s="14" t="inlineStr">
        <is>
          <t>Regra</t>
        </is>
      </c>
      <c r="B4" s="14" t="inlineStr">
        <is>
          <t>Limite</t>
        </is>
      </c>
      <c r="C4" s="14" t="inlineStr">
        <is>
          <t>Base de cálculo</t>
        </is>
      </c>
      <c r="D4" s="14" t="inlineStr">
        <is>
          <t>Quem está sujeito</t>
        </is>
      </c>
      <c r="E4" s="14" t="inlineStr">
        <is>
          <t>Exceções / observações</t>
        </is>
      </c>
      <c r="F4" s="14" t="inlineStr">
        <is>
          <t>Fonte (confira no texto oficial)</t>
        </is>
      </c>
      <c r="G4" s="14" t="inlineStr">
        <is>
          <t>Status da verificação</t>
        </is>
      </c>
      <c r="I4" s="5" t="inlineStr">
        <is>
          <t>Categorias de limite (listas)</t>
        </is>
      </c>
      <c r="J4" s="5" t="inlineStr">
        <is>
          <t>Limite unitário</t>
        </is>
      </c>
      <c r="L4" s="5" t="inlineStr">
        <is>
          <t>Etapas</t>
        </is>
      </c>
    </row>
    <row r="5">
      <c r="A5" s="4" t="inlineStr">
        <is>
          <t>Remuneração do proponente – regra geral</t>
        </is>
      </c>
      <c r="B5" s="15" t="n">
        <v>0.2</v>
      </c>
      <c r="C5" s="4" t="inlineStr">
        <is>
          <t>VALOR CAPTADO</t>
        </is>
      </c>
      <c r="D5" s="4" t="inlineStr">
        <is>
          <t>Proponente que presta serviço ao projeto previsto no orçamento analítico. Pagamentos a cônjuge, companheiro(a), empresa coligada ou com sócio em comum SOMAM neste limite.</t>
        </is>
      </c>
      <c r="E5" s="4" t="inlineStr">
        <is>
          <t>Não se aplica a grupos artísticos familiares, corpos artísticos estáveis e grupos/coletivos culturais que atuem na execução do projeto (ver texto oficial). PF e MEI têm limite próprio (linha abaixo).</t>
        </is>
      </c>
      <c r="F5" s="4" t="inlineStr">
        <is>
          <t>IN MinC 29/2026 – dispositivo sobre remuneração do proponente</t>
        </is>
      </c>
      <c r="G5" s="4" t="inlineStr">
        <is>
          <t>☐ conferido no texto oficial em ___/___/2026</t>
        </is>
      </c>
      <c r="I5" t="inlineStr">
        <is>
          <t>Produção / atividade-fim</t>
        </is>
      </c>
      <c r="L5" t="inlineStr">
        <is>
          <t>Pré-produção</t>
        </is>
      </c>
    </row>
    <row r="6">
      <c r="A6" s="4" t="inlineStr">
        <is>
          <t>Remuneração do proponente – pessoa física ou MEI</t>
        </is>
      </c>
      <c r="B6" s="15" t="n">
        <v>0.3</v>
      </c>
      <c r="C6" s="4" t="inlineStr">
        <is>
          <t>VALOR CAPTADO</t>
        </is>
      </c>
      <c r="D6" s="4" t="inlineStr">
        <is>
          <t>Proponente pessoa física ou microempreendedor individual.</t>
        </is>
      </c>
      <c r="E6" s="4" t="inlineStr">
        <is>
          <t>Continua exigindo serviço efetivo previsto no orçamento.</t>
        </is>
      </c>
      <c r="F6" s="4" t="inlineStr">
        <is>
          <t>IN MinC 29/2026 – mesmo dispositivo</t>
        </is>
      </c>
      <c r="G6" s="4" t="inlineStr">
        <is>
          <t>☐ conferido no texto oficial em ___/___/2026</t>
        </is>
      </c>
      <c r="I6" t="inlineStr">
        <is>
          <t>Cachê – artista solo</t>
        </is>
      </c>
      <c r="J6" s="16">
        <f>L_CACHE_SOLO</f>
        <v/>
      </c>
      <c r="L6" t="inlineStr">
        <is>
          <t>Produção / Execução</t>
        </is>
      </c>
    </row>
    <row r="7">
      <c r="A7" s="4" t="inlineStr">
        <is>
          <t>Pagamento a um mesmo fornecedor</t>
        </is>
      </c>
      <c r="B7" s="15" t="n">
        <v>0.2</v>
      </c>
      <c r="C7" s="4" t="inlineStr">
        <is>
          <t>VALOR CAPTADO</t>
        </is>
      </c>
      <c r="D7" s="4" t="inlineStr">
        <is>
          <t>Qualquer fornecedor pago com recurso incentivado.</t>
        </is>
      </c>
      <c r="E7" s="4" t="inlineStr">
        <is>
          <t>Há exceções previstas (ex.: intervenções de conservação e restauro de bens culturais). Confira a lista completa no texto oficial.</t>
        </is>
      </c>
      <c r="F7" s="4" t="inlineStr">
        <is>
          <t>IN MinC 29/2026 – dispositivo sobre limite por fornecedor</t>
        </is>
      </c>
      <c r="G7" s="4" t="inlineStr">
        <is>
          <t>☐ conferido no texto oficial em ___/___/2026</t>
        </is>
      </c>
      <c r="I7" t="inlineStr">
        <is>
          <t>Cachê – grupo ou coletivo</t>
        </is>
      </c>
      <c r="J7" s="16">
        <f>L_CACHE_GRUPO</f>
        <v/>
      </c>
      <c r="L7" t="inlineStr">
        <is>
          <t>Pós-produção</t>
        </is>
      </c>
    </row>
    <row r="8">
      <c r="A8" s="4" t="inlineStr">
        <is>
          <t>Custos de administração</t>
        </is>
      </c>
      <c r="B8" s="15" t="n">
        <v>0.15</v>
      </c>
      <c r="C8" s="4" t="inlineStr">
        <is>
          <t>VALOR DO PROJETO</t>
        </is>
      </c>
      <c r="D8" s="4" t="inlineStr">
        <is>
          <t>Todos os projetos.</t>
        </is>
      </c>
      <c r="E8" s="4" t="inlineStr">
        <is>
          <t>Pagos proporcionalmente às parcelas captadas. 2026: regularização documental de bens de patrimônio passou a ser admitida como custo administrativo; caiu a regra de não concentrar mais de 50% em uma única despesa administrativa.</t>
        </is>
      </c>
      <c r="F8" s="4" t="inlineStr">
        <is>
          <t>IN MinC 29/2026 – custos vinculados</t>
        </is>
      </c>
      <c r="G8" s="4" t="inlineStr">
        <is>
          <t>☐ conferido no texto oficial em ___/___/2026</t>
        </is>
      </c>
      <c r="I8" t="inlineStr">
        <is>
          <t>Cachê – músico de orquestra</t>
        </is>
      </c>
      <c r="J8" s="16">
        <f>L_CACHE_MUSICO</f>
        <v/>
      </c>
      <c r="L8" t="inlineStr">
        <is>
          <t>Divulgação / Comunicação</t>
        </is>
      </c>
    </row>
    <row r="9">
      <c r="A9" s="4" t="inlineStr">
        <is>
          <t>Acessibilidade, comunicação e divulgação acessíveis</t>
        </is>
      </c>
      <c r="B9" s="15" t="n">
        <v>0.2</v>
      </c>
      <c r="C9" s="4" t="inlineStr">
        <is>
          <t>VALOR DO PROJETO</t>
        </is>
      </c>
      <c r="D9" s="4" t="inlineStr">
        <is>
          <t>Todos os projetos.</t>
        </is>
      </c>
      <c r="E9" s="4" t="inlineStr">
        <is>
          <t>Gastos proporcionalmente à captação. Inclui consultor/coordenador de acessibilidade e equipe treinada para atender PcD durante o evento.</t>
        </is>
      </c>
      <c r="F9" s="4" t="inlineStr">
        <is>
          <t>IN MinC 29/2026 – custos vinculados</t>
        </is>
      </c>
      <c r="G9" s="4" t="inlineStr">
        <is>
          <t>☐ conferido no texto oficial em ___/___/2026</t>
        </is>
      </c>
      <c r="I9" t="inlineStr">
        <is>
          <t>Cachê – maestro / regente</t>
        </is>
      </c>
      <c r="J9" s="16">
        <f>L_CACHE_MAESTRO</f>
        <v/>
      </c>
      <c r="L9" t="inlineStr">
        <is>
          <t>Acessibilidade</t>
        </is>
      </c>
    </row>
    <row r="10">
      <c r="A10" s="4" t="inlineStr">
        <is>
          <t>Divulgação / comunicação</t>
        </is>
      </c>
      <c r="B10" s="15" t="n">
        <v>0.2</v>
      </c>
      <c r="C10" s="4" t="inlineStr">
        <is>
          <t>VALOR DO PROJETO</t>
        </is>
      </c>
      <c r="D10" s="4" t="inlineStr">
        <is>
          <t>Todos os projetos.</t>
        </is>
      </c>
      <c r="E10" s="4" t="inlineStr">
        <is>
          <t>Inclui assessoria de comunicação, despesas de divulgação e impulsionamento de conteúdo. Materiais e aplicação de marcas passam por aprovação do MinC.</t>
        </is>
      </c>
      <c r="F10" s="4" t="inlineStr">
        <is>
          <t>IN MinC 29/2026 – dispositivo sobre divulgação</t>
        </is>
      </c>
      <c r="G10" s="4" t="inlineStr">
        <is>
          <t>☐ conferido no texto oficial em ___/___/2026</t>
        </is>
      </c>
      <c r="I10" t="inlineStr">
        <is>
          <t>Cachê – palestrante / conferencista</t>
        </is>
      </c>
      <c r="J10" s="16">
        <f>L_CACHE_PALESTRA</f>
        <v/>
      </c>
      <c r="L10" t="inlineStr">
        <is>
          <t>Custos administrativos</t>
        </is>
      </c>
    </row>
    <row r="11">
      <c r="A11" s="4" t="inlineStr">
        <is>
          <t>Remuneração de captação – percentual</t>
        </is>
      </c>
      <c r="B11" s="15" t="n">
        <v>0.1</v>
      </c>
      <c r="C11" s="4" t="inlineStr">
        <is>
          <t>VALOR DO PROJETO</t>
        </is>
      </c>
      <c r="D11" s="4" t="inlineStr">
        <is>
          <t>Quem contrata serviço de captação.</t>
        </is>
      </c>
      <c r="E11" s="4" t="inlineStr">
        <is>
          <t>Paga proporcionalmente ao valor efetivamente captado. Serviço deve ser prestado ao PROPONENTE; é proibido pagar serviço prestado ao incentivador.</t>
        </is>
      </c>
      <c r="F11" s="4" t="inlineStr">
        <is>
          <t>IN MinC 29/2026 – remuneração de captação</t>
        </is>
      </c>
      <c r="G11" s="4" t="inlineStr">
        <is>
          <t>☐ conferido no texto oficial em ___/___/2026</t>
        </is>
      </c>
      <c r="I11" t="inlineStr">
        <is>
          <t>Remuneração do proponente</t>
        </is>
      </c>
      <c r="L11" t="inlineStr">
        <is>
          <t>Captação de recursos</t>
        </is>
      </c>
    </row>
    <row r="12">
      <c r="A12" s="4" t="inlineStr">
        <is>
          <t>Remuneração de captação – teto em reais</t>
        </is>
      </c>
      <c r="B12" s="17" t="n">
        <v>150000</v>
      </c>
      <c r="C12" s="4" t="inlineStr">
        <is>
          <t>valor absoluto</t>
        </is>
      </c>
      <c r="D12" s="4" t="inlineStr">
        <is>
          <t>Idem.</t>
        </is>
      </c>
      <c r="E12" s="4" t="inlineStr">
        <is>
          <t>Vale o MENOR entre 10% do valor do projeto e R$ 150.000,00.</t>
        </is>
      </c>
      <c r="F12" s="4" t="inlineStr">
        <is>
          <t>IN MinC 29/2026 – remuneração de captação</t>
        </is>
      </c>
      <c r="G12" s="4" t="inlineStr">
        <is>
          <t>☐ conferido no texto oficial em ___/___/2026</t>
        </is>
      </c>
      <c r="I12" t="inlineStr">
        <is>
          <t>Custos de administração</t>
        </is>
      </c>
      <c r="L12" t="inlineStr">
        <is>
          <t>Encerramento</t>
        </is>
      </c>
    </row>
    <row r="13">
      <c r="A13" s="4" t="inlineStr">
        <is>
          <t>Cachê – artista solo (por apresentação)</t>
        </is>
      </c>
      <c r="B13" s="17" t="n">
        <v>25000</v>
      </c>
      <c r="C13" s="4" t="inlineStr">
        <is>
          <t>por apresentação</t>
        </is>
      </c>
      <c r="D13" s="4" t="inlineStr">
        <is>
          <t>Pago com recurso incentivado.</t>
        </is>
      </c>
      <c r="E13" s="4" t="inlineStr">
        <is>
          <t>Valores maiores: só com outras fontes ou mediante apreciação da CNIC.</t>
        </is>
      </c>
      <c r="F13" s="4" t="inlineStr">
        <is>
          <t>IN MinC 29/2026 – limites de cachê</t>
        </is>
      </c>
      <c r="G13" s="4" t="inlineStr">
        <is>
          <t>☐ conferido no texto oficial em ___/___/2026</t>
        </is>
      </c>
      <c r="I13" t="inlineStr">
        <is>
          <t>Divulgação / comunicação</t>
        </is>
      </c>
    </row>
    <row r="14">
      <c r="A14" s="4" t="inlineStr">
        <is>
          <t>Cachê – grupo / coletivo (por apresentação)</t>
        </is>
      </c>
      <c r="B14" s="17" t="n">
        <v>50000</v>
      </c>
      <c r="C14" s="4" t="inlineStr">
        <is>
          <t>por apresentação</t>
        </is>
      </c>
      <c r="D14" s="4" t="inlineStr">
        <is>
          <t>Idem.</t>
        </is>
      </c>
      <c r="E14" s="4" t="inlineStr">
        <is>
          <t>Idem.</t>
        </is>
      </c>
      <c r="F14" s="4" t="inlineStr">
        <is>
          <t>IN MinC 29/2026 – limites de cachê</t>
        </is>
      </c>
      <c r="G14" s="4" t="inlineStr">
        <is>
          <t>☐ conferido no texto oficial em ___/___/2026</t>
        </is>
      </c>
      <c r="I14" t="inlineStr">
        <is>
          <t>Acessibilidade / comunicação e divulgação acessíveis</t>
        </is>
      </c>
    </row>
    <row r="15">
      <c r="A15" s="4" t="inlineStr">
        <is>
          <t>Cachê – músico de orquestra</t>
        </is>
      </c>
      <c r="B15" s="17" t="n">
        <v>5000</v>
      </c>
      <c r="C15" s="4" t="inlineStr">
        <is>
          <t>por apresentação</t>
        </is>
      </c>
      <c r="D15" s="4" t="inlineStr">
        <is>
          <t>Idem.</t>
        </is>
      </c>
      <c r="E15" s="4" t="inlineStr">
        <is>
          <t>Idem.</t>
        </is>
      </c>
      <c r="F15" s="4" t="inlineStr">
        <is>
          <t>IN MinC 29/2026 – limites de cachê</t>
        </is>
      </c>
      <c r="G15" s="4" t="inlineStr">
        <is>
          <t>☐ conferido no texto oficial em ___/___/2026</t>
        </is>
      </c>
      <c r="I15" t="inlineStr">
        <is>
          <t>Remuneração de captação</t>
        </is>
      </c>
    </row>
    <row r="16">
      <c r="A16" s="4" t="inlineStr">
        <is>
          <t>Cachê – maestro / regente</t>
        </is>
      </c>
      <c r="B16" s="17" t="n">
        <v>25000</v>
      </c>
      <c r="C16" s="4" t="inlineStr">
        <is>
          <t>por apresentação</t>
        </is>
      </c>
      <c r="D16" s="4" t="inlineStr">
        <is>
          <t>Idem.</t>
        </is>
      </c>
      <c r="E16" s="4" t="inlineStr">
        <is>
          <t>Idem.</t>
        </is>
      </c>
      <c r="F16" s="4" t="inlineStr">
        <is>
          <t>IN MinC 29/2026 – limites de cachê</t>
        </is>
      </c>
      <c r="G16" s="4" t="inlineStr">
        <is>
          <t>☐ conferido no texto oficial em ___/___/2026</t>
        </is>
      </c>
      <c r="I16" t="inlineStr">
        <is>
          <t>Tributos e encargos</t>
        </is>
      </c>
    </row>
    <row r="17">
      <c r="A17" s="4" t="inlineStr">
        <is>
          <t>Cachê – palestrante / conferencista</t>
        </is>
      </c>
      <c r="B17" s="17" t="n">
        <v>5000</v>
      </c>
      <c r="C17" s="4" t="inlineStr">
        <is>
          <t>por participação</t>
        </is>
      </c>
      <c r="D17" s="4" t="inlineStr">
        <is>
          <t>Idem.</t>
        </is>
      </c>
      <c r="E17" s="4" t="inlineStr">
        <is>
          <t>Idem.</t>
        </is>
      </c>
      <c r="F17" s="4" t="inlineStr">
        <is>
          <t>IN MinC 29/2026 – limites de cachê</t>
        </is>
      </c>
      <c r="G17" s="4" t="inlineStr">
        <is>
          <t>☐ conferido no texto oficial em ___/___/2026</t>
        </is>
      </c>
      <c r="I17" t="inlineStr">
        <is>
          <t>Outros (explique na observação)</t>
        </is>
      </c>
    </row>
    <row r="18">
      <c r="A18" s="4" t="inlineStr">
        <is>
          <t>Primeiro projeto no Pronac – dispensa de comprovar atuação cultural</t>
        </is>
      </c>
      <c r="B18" s="17" t="n">
        <v>200000</v>
      </c>
      <c r="C18" s="4" t="inlineStr">
        <is>
          <t>VALOR DO PROJETO (confira o termo exato)</t>
        </is>
      </c>
      <c r="D18" s="4" t="inlineStr">
        <is>
          <t>Proponente que apresenta seu PRIMEIRO projeto ao Pronac.</t>
        </is>
      </c>
      <c r="E18" s="4" t="inlineStr">
        <is>
          <t>Dispensa SOMENTE a comprovação de atuação na área cultural. NÃO dispensa cadastro, documentos, orçamento, acessibilidade, democratização nem análise técnica. Acima do limite: precisa comprovar atuação (portfólio no Salic).</t>
        </is>
      </c>
      <c r="F18" s="4" t="inlineStr">
        <is>
          <t>IN MinC 29/2026 – dispositivo sobre comprovação de atuação</t>
        </is>
      </c>
      <c r="G18" s="4" t="inlineStr">
        <is>
          <t>☐ conferido no texto oficial em ___/___/2026</t>
        </is>
      </c>
    </row>
    <row r="19">
      <c r="A19" s="4" t="inlineStr">
        <is>
          <t>Distribuição gratuita promocional – patrocinador (máximo)</t>
        </is>
      </c>
      <c r="B19" s="15" t="n">
        <v>0.1</v>
      </c>
      <c r="C19" s="4" t="inlineStr">
        <is>
          <t>total de ingressos/produtos</t>
        </is>
      </c>
      <c r="D19" s="4" t="inlineStr">
        <is>
          <t>Projetos com produtos/ingressos.</t>
        </is>
      </c>
      <c r="E19" s="4" t="inlineStr"/>
      <c r="F19" s="4" t="inlineStr">
        <is>
          <t>IN MinC 29/2026 – plano de distribuição</t>
        </is>
      </c>
      <c r="G19" s="4" t="inlineStr">
        <is>
          <t>☐ conferido no texto oficial em ___/___/2026</t>
        </is>
      </c>
    </row>
    <row r="20">
      <c r="A20" s="4" t="inlineStr">
        <is>
          <t>Distribuição gratuita promocional – proponente/divulgação (máximo)</t>
        </is>
      </c>
      <c r="B20" s="15" t="n">
        <v>0.1</v>
      </c>
      <c r="C20" s="4" t="inlineStr">
        <is>
          <t>total de ingressos/produtos</t>
        </is>
      </c>
      <c r="D20" s="4" t="inlineStr">
        <is>
          <t>Idem.</t>
        </is>
      </c>
      <c r="E20" s="4" t="inlineStr"/>
      <c r="F20" s="4" t="inlineStr">
        <is>
          <t>IN MinC 29/2026 – plano de distribuição</t>
        </is>
      </c>
      <c r="G20" s="4" t="inlineStr">
        <is>
          <t>☐ conferido no texto oficial em ___/___/2026</t>
        </is>
      </c>
    </row>
    <row r="21">
      <c r="A21" s="4" t="inlineStr">
        <is>
          <t>Distribuição gratuita social/educativa (mínimo)</t>
        </is>
      </c>
      <c r="B21" s="15" t="n">
        <v>0.1</v>
      </c>
      <c r="C21" s="4" t="inlineStr">
        <is>
          <t>total de ingressos/produtos</t>
        </is>
      </c>
      <c r="D21" s="4" t="inlineStr">
        <is>
          <t>Idem.</t>
        </is>
      </c>
      <c r="E21" s="4" t="inlineStr"/>
      <c r="F21" s="4" t="inlineStr">
        <is>
          <t>IN MinC 29/2026 – plano de distribuição</t>
        </is>
      </c>
      <c r="G21" s="4" t="inlineStr">
        <is>
          <t>☐ conferido no texto oficial em ___/___/2026</t>
        </is>
      </c>
    </row>
    <row r="22">
      <c r="A22" s="4" t="inlineStr">
        <is>
          <t>Comercialização a preço popular (mínimo)</t>
        </is>
      </c>
      <c r="B22" s="15" t="n">
        <v>0.2</v>
      </c>
      <c r="C22" s="4" t="inlineStr">
        <is>
          <t>total de ingressos/produtos</t>
        </is>
      </c>
      <c r="D22" s="4" t="inlineStr">
        <is>
          <t>Idem.</t>
        </is>
      </c>
      <c r="E22" s="4" t="inlineStr"/>
      <c r="F22" s="4" t="inlineStr">
        <is>
          <t>IN MinC 29/2026 – plano de distribuição</t>
        </is>
      </c>
      <c r="G22" s="4" t="inlineStr">
        <is>
          <t>☐ conferido no texto oficial em ___/___/2026</t>
        </is>
      </c>
    </row>
    <row r="23">
      <c r="A23" s="4" t="inlineStr">
        <is>
          <t>Preço popular – valor máximo</t>
        </is>
      </c>
      <c r="B23" s="17" t="n">
        <v>50</v>
      </c>
      <c r="C23" s="4" t="inlineStr">
        <is>
          <t>por ingresso/produto</t>
        </is>
      </c>
      <c r="D23" s="4" t="inlineStr">
        <is>
          <t>Idem.</t>
        </is>
      </c>
      <c r="E23" s="4" t="inlineStr"/>
      <c r="F23" s="4" t="inlineStr">
        <is>
          <t>IN MinC 29/2026 – plano de distribuição</t>
        </is>
      </c>
      <c r="G23" s="4" t="inlineStr">
        <is>
          <t>☐ conferido no texto oficial em ___/___/2026</t>
        </is>
      </c>
    </row>
    <row r="24">
      <c r="A24" s="4" t="inlineStr">
        <is>
          <t>Preço médio do ingresso (máximo) – CONFIRA</t>
        </is>
      </c>
      <c r="B24" s="17" t="n">
        <v>250</v>
      </c>
      <c r="C24" s="4" t="inlineStr">
        <is>
          <t>média dos ingressos comercializados</t>
        </is>
      </c>
      <c r="D24" s="4" t="inlineStr">
        <is>
          <t>Idem.</t>
        </is>
      </c>
      <c r="E24" s="4" t="inlineStr">
        <is>
          <t>Valor encontrado em fontes secundárias. CONFIRA no texto oficial antes de usar.</t>
        </is>
      </c>
      <c r="F24" s="4" t="inlineStr">
        <is>
          <t>IN MinC 29/2026 – plano de distribuição</t>
        </is>
      </c>
      <c r="G24" s="4" t="inlineStr">
        <is>
          <t>☐ conferido no texto oficial em ___/___/2026</t>
        </is>
      </c>
    </row>
    <row r="25">
      <c r="A25" s="4" t="inlineStr">
        <is>
          <t>Pessoa física – projetos ativos</t>
        </is>
      </c>
      <c r="B25" s="18" t="n">
        <v>2</v>
      </c>
      <c r="C25" s="4" t="inlineStr">
        <is>
          <t>quantidade</t>
        </is>
      </c>
      <c r="D25" s="4" t="inlineStr">
        <is>
          <t>Proponente PF.</t>
        </is>
      </c>
      <c r="E25" s="4" t="inlineStr">
        <is>
          <t>Teto global na linha abaixo.</t>
        </is>
      </c>
      <c r="F25" s="4" t="inlineStr">
        <is>
          <t>IN MinC 29/2026 – limites por proponente</t>
        </is>
      </c>
      <c r="G25" s="4" t="inlineStr">
        <is>
          <t>☐ conferido no texto oficial em ___/___/2026</t>
        </is>
      </c>
    </row>
    <row r="26">
      <c r="A26" s="4" t="inlineStr">
        <is>
          <t>Pessoa física – teto global</t>
        </is>
      </c>
      <c r="B26" s="17" t="n">
        <v>500000</v>
      </c>
      <c r="C26" s="4" t="inlineStr">
        <is>
          <t>soma dos projetos ativos</t>
        </is>
      </c>
      <c r="D26" s="4" t="inlineStr">
        <is>
          <t>Proponente PF.</t>
        </is>
      </c>
      <c r="E26" s="4" t="inlineStr"/>
      <c r="F26" s="4" t="inlineStr">
        <is>
          <t>IN MinC 29/2026 – limites por proponente</t>
        </is>
      </c>
      <c r="G26" s="4" t="inlineStr">
        <is>
          <t>☐ conferido no texto oficial em ___/___/2026</t>
        </is>
      </c>
    </row>
    <row r="27">
      <c r="A27" s="4" t="inlineStr">
        <is>
          <t>MEI – projetos ativos</t>
        </is>
      </c>
      <c r="B27" s="18" t="n">
        <v>4</v>
      </c>
      <c r="C27" s="4" t="inlineStr">
        <is>
          <t>quantidade</t>
        </is>
      </c>
      <c r="D27" s="4" t="inlineStr">
        <is>
          <t>Proponente MEI.</t>
        </is>
      </c>
      <c r="E27" s="4" t="inlineStr"/>
      <c r="F27" s="4" t="inlineStr">
        <is>
          <t>IN MinC 29/2026 – limites por proponente</t>
        </is>
      </c>
      <c r="G27" s="4" t="inlineStr">
        <is>
          <t>☐ conferido no texto oficial em ___/___/2026</t>
        </is>
      </c>
    </row>
    <row r="28">
      <c r="A28" s="4" t="inlineStr">
        <is>
          <t>MEI – teto global</t>
        </is>
      </c>
      <c r="B28" s="17" t="n">
        <v>1500000</v>
      </c>
      <c r="C28" s="4" t="inlineStr">
        <is>
          <t>soma dos projetos ativos</t>
        </is>
      </c>
      <c r="D28" s="4" t="inlineStr">
        <is>
          <t>Proponente MEI.</t>
        </is>
      </c>
      <c r="E28" s="4" t="inlineStr"/>
      <c r="F28" s="4" t="inlineStr">
        <is>
          <t>IN MinC 29/2026 – limites por proponente</t>
        </is>
      </c>
      <c r="G28" s="4" t="inlineStr">
        <is>
          <t>☐ conferido no texto oficial em ___/___/2026</t>
        </is>
      </c>
    </row>
    <row r="29">
      <c r="A29" s="4" t="inlineStr">
        <is>
          <t>Demais pessoas jurídicas – projetos ativos</t>
        </is>
      </c>
      <c r="B29" s="18" t="n">
        <v>10</v>
      </c>
      <c r="C29" s="4" t="inlineStr">
        <is>
          <t>quantidade</t>
        </is>
      </c>
      <c r="D29" s="4" t="inlineStr">
        <is>
          <t>Demais PJ.</t>
        </is>
      </c>
      <c r="E29" s="4" t="inlineStr">
        <is>
          <t>2026: reduzido de 16 para 10; não há mais limite separado para optantes do Simples.</t>
        </is>
      </c>
      <c r="F29" s="4" t="inlineStr">
        <is>
          <t>IN MinC 29/2026 – limites por proponente</t>
        </is>
      </c>
      <c r="G29" s="4" t="inlineStr">
        <is>
          <t>☐ conferido no texto oficial em ___/___/2026</t>
        </is>
      </c>
    </row>
    <row r="30">
      <c r="A30" s="4" t="inlineStr">
        <is>
          <t>Demais pessoas jurídicas – teto global</t>
        </is>
      </c>
      <c r="B30" s="17" t="n">
        <v>15000000</v>
      </c>
      <c r="C30" s="4" t="inlineStr">
        <is>
          <t>soma dos projetos ativos</t>
        </is>
      </c>
      <c r="D30" s="4" t="inlineStr">
        <is>
          <t>Demais PJ.</t>
        </is>
      </c>
      <c r="E30" s="4" t="inlineStr">
        <is>
          <t>Existem regras específicas (ex.: planos anuais, patrimônio, regiões). Confira.</t>
        </is>
      </c>
      <c r="F30" s="4" t="inlineStr">
        <is>
          <t>IN MinC 29/2026 – limites por proponente</t>
        </is>
      </c>
      <c r="G30" s="4" t="inlineStr">
        <is>
          <t>☐ conferido no texto oficial em ___/___/2026</t>
        </is>
      </c>
    </row>
    <row r="31">
      <c r="A31" s="4" t="inlineStr">
        <is>
          <t>Margem de alerta amarelo (a partir de X% do limite)</t>
        </is>
      </c>
      <c r="B31" s="15" t="n">
        <v>0.9</v>
      </c>
      <c r="C31" s="4" t="inlineStr">
        <is>
          <t>—</t>
        </is>
      </c>
      <c r="D31" s="4" t="inlineStr">
        <is>
          <t>Configuração do kit (não é regra da IN).</t>
        </is>
      </c>
      <c r="E31" s="4" t="inlineStr">
        <is>
          <t>Ex.: 0,90 → acima de 90% do limite aparece 🟡 VERIFICAR.</t>
        </is>
      </c>
      <c r="F31" s="4" t="inlineStr">
        <is>
          <t>Configuração interna</t>
        </is>
      </c>
      <c r="G31" s="4" t="inlineStr">
        <is>
          <t>☐ conferido no texto oficial em ___/___/2026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80" customWidth="1" min="3" max="3"/>
    <col width="18" customWidth="1" min="4" max="4"/>
    <col width="12" customWidth="1" min="5" max="5"/>
  </cols>
  <sheetData>
    <row r="1" ht="30" customHeight="1">
      <c r="A1" s="1" t="inlineStr">
        <is>
          <t>PLANILHA 1 — MAPA DO PROJETO</t>
        </is>
      </c>
    </row>
    <row r="2" ht="45" customHeight="1">
      <c r="A2" s="2" t="inlineStr">
        <is>
          <t>Preencha a coluna C. A coluna D mostra se o campo está preenchido e quantos caracteres tem. Escreva para o seu projeto — nada de texto genérico copiado.</t>
        </is>
      </c>
    </row>
    <row r="4" ht="42" customHeight="1">
      <c r="A4" s="14" t="inlineStr">
        <is>
          <t>Campo</t>
        </is>
      </c>
      <c r="B4" s="14" t="inlineStr">
        <is>
          <t>Pergunta que o campo responde</t>
        </is>
      </c>
      <c r="C4" s="14" t="inlineStr">
        <is>
          <t>SUA RESPOSTA</t>
        </is>
      </c>
      <c r="D4" s="14" t="inlineStr">
        <is>
          <t>Status</t>
        </is>
      </c>
      <c r="E4" s="14" t="inlineStr">
        <is>
          <t>Nº de caracteres</t>
        </is>
      </c>
    </row>
    <row r="5" ht="70" customHeight="1">
      <c r="A5" s="19" t="inlineStr">
        <is>
          <t>Nome do projeto</t>
        </is>
      </c>
      <c r="B5" s="4" t="inlineStr">
        <is>
          <t>Como o projeto se chama? Curto, claro, sem siglas soltas.</t>
        </is>
      </c>
      <c r="C5" s="20" t="n"/>
      <c r="D5" s="21">
        <f>IF(LEN(TRIM(C5))=0,"🔴 VAZIO",IF(LEN(TRIM(C5))&lt;40,"🟡 MUITO CURTO","🟢 PREENCHIDO"))</f>
        <v/>
      </c>
      <c r="E5" s="21">
        <f>LEN(C5)</f>
        <v/>
      </c>
    </row>
    <row r="6" ht="70" customHeight="1">
      <c r="A6" s="19" t="inlineStr">
        <is>
          <t>Área cultural</t>
        </is>
      </c>
      <c r="B6" s="4" t="inlineStr">
        <is>
          <t>Qual a área (ex.: artes cênicas, música, audiovisual, patrimônio, artes visuais, humanidades…)?</t>
        </is>
      </c>
      <c r="C6" s="20" t="n"/>
      <c r="D6" s="21">
        <f>IF(LEN(TRIM(C6))=0,"🔴 VAZIO",IF(LEN(TRIM(C6))&lt;40,"🟡 MUITO CURTO","🟢 PREENCHIDO"))</f>
        <v/>
      </c>
      <c r="E6" s="21">
        <f>LEN(C6)</f>
        <v/>
      </c>
    </row>
    <row r="7" ht="70" customHeight="1">
      <c r="A7" s="19" t="inlineStr">
        <is>
          <t>Segmento</t>
        </is>
      </c>
      <c r="B7" s="4" t="inlineStr">
        <is>
          <t>Qual o segmento dentro da área? Ele define enquadramento (art. 18 ou art. 26 da Lei 8.313/1991).</t>
        </is>
      </c>
      <c r="C7" s="20" t="n"/>
      <c r="D7" s="21">
        <f>IF(LEN(TRIM(C7))=0,"🔴 VAZIO",IF(LEN(TRIM(C7))&lt;40,"🟡 MUITO CURTO","🟢 PREENCHIDO"))</f>
        <v/>
      </c>
      <c r="E7" s="21">
        <f>LEN(C7)</f>
        <v/>
      </c>
    </row>
    <row r="8" ht="70" customHeight="1">
      <c r="A8" s="19" t="inlineStr">
        <is>
          <t>Resumo</t>
        </is>
      </c>
      <c r="B8" s="4" t="inlineStr">
        <is>
          <t>Em 5 linhas: O QUÊ + ONDE + QUANDO + PARA QUEM + COMO.</t>
        </is>
      </c>
      <c r="C8" s="20" t="n"/>
      <c r="D8" s="21">
        <f>IF(LEN(TRIM(C8))=0,"🔴 VAZIO",IF(LEN(TRIM(C8))&lt;40,"🟡 MUITO CURTO","🟢 PREENCHIDO"))</f>
        <v/>
      </c>
      <c r="E8" s="21">
        <f>LEN(C8)</f>
        <v/>
      </c>
    </row>
    <row r="9" ht="70" customHeight="1">
      <c r="A9" s="19" t="inlineStr">
        <is>
          <t>Objeto (o que será entregue)</t>
        </is>
      </c>
      <c r="B9" s="4" t="inlineStr">
        <is>
          <t>Qual é a entrega principal? (ex.: 8 apresentações gratuitas de teatro de rua).</t>
        </is>
      </c>
      <c r="C9" s="20" t="n"/>
      <c r="D9" s="21">
        <f>IF(LEN(TRIM(C9))=0,"🔴 VAZIO",IF(LEN(TRIM(C9))&lt;40,"🟡 MUITO CURTO","🟢 PREENCHIDO"))</f>
        <v/>
      </c>
      <c r="E9" s="21">
        <f>LEN(C9)</f>
        <v/>
      </c>
    </row>
    <row r="10" ht="70" customHeight="1">
      <c r="A10" s="19" t="inlineStr">
        <is>
          <t>Objetivo geral</t>
        </is>
      </c>
      <c r="B10" s="4" t="inlineStr">
        <is>
          <t>Qual a grande mudança/resultado cultural que o projeto busca? (1 frase, verbo no infinitivo).</t>
        </is>
      </c>
      <c r="C10" s="20" t="n"/>
      <c r="D10" s="21">
        <f>IF(LEN(TRIM(C10))=0,"🔴 VAZIO",IF(LEN(TRIM(C10))&lt;40,"🟡 MUITO CURTO","🟢 PREENCHIDO"))</f>
        <v/>
      </c>
      <c r="E10" s="21">
        <f>LEN(C10)</f>
        <v/>
      </c>
    </row>
    <row r="11" ht="70" customHeight="1">
      <c r="A11" s="19" t="inlineStr">
        <is>
          <t>Objetivos específicos</t>
        </is>
      </c>
      <c r="B11" s="4" t="inlineStr">
        <is>
          <t>3 a 5 objetivos mensuráveis. Cada um vira META e PRODUTO.</t>
        </is>
      </c>
      <c r="C11" s="20" t="n"/>
      <c r="D11" s="21">
        <f>IF(LEN(TRIM(C11))=0,"🔴 VAZIO",IF(LEN(TRIM(C11))&lt;40,"🟡 MUITO CURTO","🟢 PREENCHIDO"))</f>
        <v/>
      </c>
      <c r="E11" s="21">
        <f>LEN(C11)</f>
        <v/>
      </c>
    </row>
    <row r="12" ht="70" customHeight="1">
      <c r="A12" s="19" t="inlineStr">
        <is>
          <t>Justificativa</t>
        </is>
      </c>
      <c r="B12" s="4" t="inlineStr">
        <is>
          <t>Por que este projeto, neste lugar, agora? Qual a lacuna? Qual a relação com a Lei 8.313/1991 (art. 1º)?</t>
        </is>
      </c>
      <c r="C12" s="20" t="n"/>
      <c r="D12" s="21">
        <f>IF(LEN(TRIM(C12))=0,"🔴 VAZIO",IF(LEN(TRIM(C12))&lt;40,"🟡 MUITO CURTO","🟢 PREENCHIDO"))</f>
        <v/>
      </c>
      <c r="E12" s="21">
        <f>LEN(C12)</f>
        <v/>
      </c>
    </row>
    <row r="13" ht="70" customHeight="1">
      <c r="A13" s="19" t="inlineStr">
        <is>
          <t>Metodologia</t>
        </is>
      </c>
      <c r="B13" s="4" t="inlineStr">
        <is>
          <t>Como será feito, etapa por etapa? Quem faz o quê? Cada etapa precisa ter despesa no orçamento.</t>
        </is>
      </c>
      <c r="C13" s="20" t="n"/>
      <c r="D13" s="21">
        <f>IF(LEN(TRIM(C13))=0,"🔴 VAZIO",IF(LEN(TRIM(C13))&lt;40,"🟡 MUITO CURTO","🟢 PREENCHIDO"))</f>
        <v/>
      </c>
      <c r="E13" s="21">
        <f>LEN(C13)</f>
        <v/>
      </c>
    </row>
    <row r="14" ht="70" customHeight="1">
      <c r="A14" s="19" t="inlineStr">
        <is>
          <t>Público-alvo</t>
        </is>
      </c>
      <c r="B14" s="4" t="inlineStr">
        <is>
          <t>Quem é o público (perfil, faixa etária, território)? Quantas pessoas?</t>
        </is>
      </c>
      <c r="C14" s="20" t="n"/>
      <c r="D14" s="21">
        <f>IF(LEN(TRIM(C14))=0,"🔴 VAZIO",IF(LEN(TRIM(C14))&lt;40,"🟡 MUITO CURTO","🟢 PREENCHIDO"))</f>
        <v/>
      </c>
      <c r="E14" s="21">
        <f>LEN(C14)</f>
        <v/>
      </c>
    </row>
    <row r="15" ht="70" customHeight="1">
      <c r="A15" s="19" t="inlineStr">
        <is>
          <t>Beneficiários</t>
        </is>
      </c>
      <c r="B15" s="4" t="inlineStr">
        <is>
          <t>Quem recebe gratuidade, formação, acesso? Escolas, comunidades, instituições?</t>
        </is>
      </c>
      <c r="C15" s="20" t="n"/>
      <c r="D15" s="21">
        <f>IF(LEN(TRIM(C15))=0,"🔴 VAZIO",IF(LEN(TRIM(C15))&lt;40,"🟡 MUITO CURTO","🟢 PREENCHIDO"))</f>
        <v/>
      </c>
      <c r="E15" s="21">
        <f>LEN(C15)</f>
        <v/>
      </c>
    </row>
    <row r="16" ht="70" customHeight="1">
      <c r="A16" s="19" t="inlineStr">
        <is>
          <t>Produtos</t>
        </is>
      </c>
      <c r="B16" s="4" t="inlineStr">
        <is>
          <t>Lista dos produtos culturais (apresentação, livro, oficina, exposição, vídeo…) com quantidades.</t>
        </is>
      </c>
      <c r="C16" s="20" t="n"/>
      <c r="D16" s="21">
        <f>IF(LEN(TRIM(C16))=0,"🔴 VAZIO",IF(LEN(TRIM(C16))&lt;40,"🟡 MUITO CURTO","🟢 PREENCHIDO"))</f>
        <v/>
      </c>
      <c r="E16" s="21">
        <f>LEN(C16)</f>
        <v/>
      </c>
    </row>
    <row r="17" ht="70" customHeight="1">
      <c r="A17" s="19" t="inlineStr">
        <is>
          <t>Metas</t>
        </is>
      </c>
      <c r="B17" s="4" t="inlineStr">
        <is>
          <t>Números: quantas apresentações, vagas, exemplares, horas, pessoas atendidas.</t>
        </is>
      </c>
      <c r="C17" s="20" t="n"/>
      <c r="D17" s="21">
        <f>IF(LEN(TRIM(C17))=0,"🔴 VAZIO",IF(LEN(TRIM(C17))&lt;40,"🟡 MUITO CURTO","🟢 PREENCHIDO"))</f>
        <v/>
      </c>
      <c r="E17" s="21">
        <f>LEN(C17)</f>
        <v/>
      </c>
    </row>
    <row r="18" ht="70" customHeight="1">
      <c r="A18" s="19" t="inlineStr">
        <is>
          <t>Local de realização</t>
        </is>
      </c>
      <c r="B18" s="4" t="inlineStr">
        <is>
          <t>Município(s)/UF e tipo de espaço. Tem anuência/cessão do espaço?</t>
        </is>
      </c>
      <c r="C18" s="20" t="n"/>
      <c r="D18" s="21">
        <f>IF(LEN(TRIM(C18))=0,"🔴 VAZIO",IF(LEN(TRIM(C18))&lt;40,"🟡 MUITO CURTO","🟢 PREENCHIDO"))</f>
        <v/>
      </c>
      <c r="E18" s="21">
        <f>LEN(C18)</f>
        <v/>
      </c>
    </row>
    <row r="19" ht="70" customHeight="1">
      <c r="A19" s="19" t="inlineStr">
        <is>
          <t>Período de execução</t>
        </is>
      </c>
      <c r="B19" s="4" t="inlineStr">
        <is>
          <t>Data de início e fim previstas (máximo de 36 meses de execução, conforme IN 29/2026).</t>
        </is>
      </c>
      <c r="C19" s="20" t="n"/>
      <c r="D19" s="21">
        <f>IF(LEN(TRIM(C19))=0,"🔴 VAZIO",IF(LEN(TRIM(C19))&lt;40,"🟡 MUITO CURTO","🟢 PREENCHIDO"))</f>
        <v/>
      </c>
      <c r="E19" s="21">
        <f>LEN(C19)</f>
        <v/>
      </c>
    </row>
    <row r="20" ht="70" customHeight="1">
      <c r="A20" s="19" t="inlineStr">
        <is>
          <t>Etapas</t>
        </is>
      </c>
      <c r="B20" s="4" t="inlineStr">
        <is>
          <t>Pré-produção, produção, pós-produção, divulgação, execução, encerramento — o que acontece em cada uma?</t>
        </is>
      </c>
      <c r="C20" s="20" t="n"/>
      <c r="D20" s="21">
        <f>IF(LEN(TRIM(C20))=0,"🔴 VAZIO",IF(LEN(TRIM(C20))&lt;40,"🟡 MUITO CURTO","🟢 PREENCHIDO"))</f>
        <v/>
      </c>
      <c r="E20" s="21">
        <f>LEN(C20)</f>
        <v/>
      </c>
    </row>
    <row r="21" ht="70" customHeight="1">
      <c r="A21" s="19" t="inlineStr">
        <is>
          <t>Acessibilidade (física, comunicacional, atitudinal)</t>
        </is>
      </c>
      <c r="B21" s="4" t="inlineStr">
        <is>
          <t>Quais medidas concretas, em quais produtos, com qual custo?</t>
        </is>
      </c>
      <c r="C21" s="20" t="n"/>
      <c r="D21" s="21">
        <f>IF(LEN(TRIM(C21))=0,"🔴 VAZIO",IF(LEN(TRIM(C21))&lt;40,"🟡 MUITO CURTO","🟢 PREENCHIDO"))</f>
        <v/>
      </c>
      <c r="E21" s="21">
        <f>LEN(C21)</f>
        <v/>
      </c>
    </row>
    <row r="22" ht="70" customHeight="1">
      <c r="A22" s="19" t="inlineStr">
        <is>
          <t>Democratização do acesso</t>
        </is>
      </c>
      <c r="B22" s="4" t="inlineStr">
        <is>
          <t>Gratuidade, preço popular, ações formativas, distribuição — números e onde.</t>
        </is>
      </c>
      <c r="C22" s="20" t="n"/>
      <c r="D22" s="21">
        <f>IF(LEN(TRIM(C22))=0,"🔴 VAZIO",IF(LEN(TRIM(C22))&lt;40,"🟡 MUITO CURTO","🟢 PREENCHIDO"))</f>
        <v/>
      </c>
      <c r="E22" s="21">
        <f>LEN(C22)</f>
        <v/>
      </c>
    </row>
    <row r="23" ht="70" customHeight="1">
      <c r="A23" s="19" t="inlineStr">
        <is>
          <t>Resultados esperados</t>
        </is>
      </c>
      <c r="B23" s="4" t="inlineStr">
        <is>
          <t>O que muda depois do projeto? Como vai comprovar (fotos, listas, relatórios, clipping)?</t>
        </is>
      </c>
      <c r="C23" s="20" t="n"/>
      <c r="D23" s="21">
        <f>IF(LEN(TRIM(C23))=0,"🔴 VAZIO",IF(LEN(TRIM(C23))&lt;40,"🟡 MUITO CURTO","🟢 PREENCHIDO"))</f>
        <v/>
      </c>
      <c r="E23" s="21">
        <f>LEN(C23)</f>
        <v/>
      </c>
    </row>
    <row r="24" ht="70" customHeight="1">
      <c r="A24" s="19" t="inlineStr">
        <is>
          <t>Outras fontes de recurso</t>
        </is>
      </c>
      <c r="B24" s="4" t="inlineStr">
        <is>
          <t>Existe dinheiro/apoio além do incentivo? Está confirmado? Qual despesa ele paga?</t>
        </is>
      </c>
      <c r="C24" s="20" t="n"/>
      <c r="D24" s="21">
        <f>IF(LEN(TRIM(C24))=0,"🔴 VAZIO",IF(LEN(TRIM(C24))&lt;40,"🟡 MUITO CURTO","🟢 PREENCHIDO"))</f>
        <v/>
      </c>
      <c r="E24" s="21">
        <f>LEN(C24)</f>
        <v/>
      </c>
    </row>
    <row r="26">
      <c r="A26" s="5" t="inlineStr">
        <is>
          <t>Campos preenchidos</t>
        </is>
      </c>
      <c r="C26">
        <f>COUNTIF(D5:D24,"🟢*")&amp;" de 20"</f>
        <v/>
      </c>
    </row>
  </sheetData>
  <mergeCells count="2">
    <mergeCell ref="A2:E2"/>
    <mergeCell ref="A1:E1"/>
  </mergeCells>
  <conditionalFormatting sqref="D5:D24">
    <cfRule type="expression" priority="1" dxfId="0">
      <formula>LEFT(D5,2)="🔴"</formula>
    </cfRule>
    <cfRule type="expression" priority="2" dxfId="1">
      <formula>LEFT(D5,2)="🟡"</formula>
    </cfRule>
    <cfRule type="expression" priority="3" dxfId="2">
      <formula>LEFT(D5,2)="🟢"</formula>
    </cfRule>
    <cfRule type="expression" priority="4" dxfId="0">
      <formula>ISNUMBER(SEARCH("🔴",D5))</formula>
    </cfRule>
    <cfRule type="expression" priority="5" dxfId="1">
      <formula>ISNUMBER(SEARCH("🟡",D5))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7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8" customWidth="1" min="2" max="2"/>
    <col width="36" customWidth="1" min="3" max="3"/>
    <col width="12" customWidth="1" min="4" max="4"/>
    <col width="11" customWidth="1" min="5" max="5"/>
    <col width="15" customWidth="1" min="6" max="6"/>
    <col width="16" customWidth="1" min="7" max="7"/>
    <col width="22" customWidth="1" min="8" max="8"/>
    <col width="24" customWidth="1" min="9" max="9"/>
    <col width="26" customWidth="1" min="10" max="10"/>
    <col width="30" customWidth="1" min="11" max="11"/>
    <col width="20" customWidth="1" min="12" max="12"/>
    <col width="40" customWidth="1" min="13" max="13"/>
    <col width="14" customWidth="1" min="14" max="14"/>
    <col width="16" customWidth="1" min="15" max="15"/>
    <col width="14" customWidth="1" min="16" max="16"/>
    <col width="60" customWidth="1" min="17" max="17"/>
  </cols>
  <sheetData>
    <row r="1" ht="30" customHeight="1">
      <c r="A1" s="1" t="inlineStr">
        <is>
          <t>PLANILHA 2 — ORÇAMENTO ANALÍTICO</t>
        </is>
      </c>
    </row>
    <row r="2" ht="45" customHeight="1">
      <c r="A2" s="2" t="inlineStr">
        <is>
          <t>Colunas A–J: o que vai para o Salic. Colunas K–O (cinza): SUAS conferências. Colunas P–Q: alertas automáticos. Regra: se não consegue explicar por que a despesa existe, não coloque.</t>
        </is>
      </c>
    </row>
    <row r="3">
      <c r="A3" s="5" t="inlineStr">
        <is>
          <t>Total incentivo (Rouanet)</t>
        </is>
      </c>
      <c r="C3" s="22">
        <f>SUMIFS(G8:G207,H8:H207,"Incentivo*")</f>
        <v/>
      </c>
      <c r="E3" s="5" t="inlineStr">
        <is>
          <t>Linhas com alerta 🔴</t>
        </is>
      </c>
      <c r="G3" s="23">
        <f>COUNTIF(Q8:Q207,"*🔴*")</f>
        <v/>
      </c>
    </row>
    <row r="4">
      <c r="A4" s="5" t="inlineStr">
        <is>
          <t>Total outras fontes</t>
        </is>
      </c>
      <c r="C4" s="22">
        <f>SUMIFS(G8:G207,H8:H207,"Outras*")</f>
        <v/>
      </c>
      <c r="E4" s="5" t="inlineStr">
        <is>
          <t>Linhas com alerta 🟡</t>
        </is>
      </c>
      <c r="G4" s="23">
        <f>COUNTIF(Q8:Q207,"*🟡*")</f>
        <v/>
      </c>
    </row>
    <row r="5">
      <c r="A5" s="5" t="inlineStr">
        <is>
          <t>TOTAL GERAL</t>
        </is>
      </c>
      <c r="C5" s="22">
        <f>C3+C4</f>
        <v/>
      </c>
      <c r="E5" s="5" t="inlineStr">
        <is>
          <t>Linhas 🟢 conferidas</t>
        </is>
      </c>
      <c r="G5" s="23">
        <f>COUNTIF(Q8:Q207,"🟢*")</f>
        <v/>
      </c>
    </row>
    <row r="7" ht="42" customHeight="1">
      <c r="A7" s="14" t="inlineStr">
        <is>
          <t>Etapa</t>
        </is>
      </c>
      <c r="B7" s="14" t="inlineStr">
        <is>
          <t>Item</t>
        </is>
      </c>
      <c r="C7" s="14" t="inlineStr">
        <is>
          <t>Descrição</t>
        </is>
      </c>
      <c r="D7" s="14" t="inlineStr">
        <is>
          <t>Unidade</t>
        </is>
      </c>
      <c r="E7" s="14" t="inlineStr">
        <is>
          <t>Quantidade</t>
        </is>
      </c>
      <c r="F7" s="14" t="inlineStr">
        <is>
          <t>Valor unitário</t>
        </is>
      </c>
      <c r="G7" s="14" t="inlineStr">
        <is>
          <t>Valor total</t>
        </is>
      </c>
      <c r="H7" s="14" t="inlineStr">
        <is>
          <t>Fonte</t>
        </is>
      </c>
      <c r="I7" s="14" t="inlineStr">
        <is>
          <t>Fornecedor</t>
        </is>
      </c>
      <c r="J7" s="14" t="inlineStr">
        <is>
          <t>Observação</t>
        </is>
      </c>
      <c r="K7" s="24" t="inlineStr">
        <is>
          <t>Categoria de limite</t>
        </is>
      </c>
      <c r="L7" s="24" t="inlineStr">
        <is>
          <t>Pessoa vinculada ao proponente? (cônjuge, companheiro, coligada, sócio em comum)</t>
        </is>
      </c>
      <c r="M7" s="24" t="inlineStr">
        <is>
          <t>POR QUE ESSA DESPESA EXISTE? (vínculo com a metodologia)</t>
        </is>
      </c>
      <c r="N7" s="24" t="inlineStr">
        <is>
          <t>Preço de mercado conferido?</t>
        </is>
      </c>
      <c r="O7" s="24" t="inlineStr">
        <is>
          <t>Esta despesa é paga também por outra fonte?</t>
        </is>
      </c>
      <c r="P7" s="25" t="inlineStr">
        <is>
          <t>% do fornecedor sobre o VALOR CAPTADO</t>
        </is>
      </c>
      <c r="Q7" s="25" t="inlineStr">
        <is>
          <t>ALERTAS AUTOMÁTICOS</t>
        </is>
      </c>
    </row>
    <row r="8">
      <c r="A8" s="20" t="n"/>
      <c r="B8" s="20" t="n"/>
      <c r="C8" s="20" t="n"/>
      <c r="D8" s="20" t="n"/>
      <c r="E8" s="20" t="n"/>
      <c r="F8" s="17" t="n"/>
      <c r="G8" s="26">
        <f>IF(OR(E8="",F8=""),"",E8*F8)</f>
        <v/>
      </c>
      <c r="H8" s="20" t="n"/>
      <c r="I8" s="20" t="n"/>
      <c r="J8" s="20" t="n"/>
      <c r="K8" s="20" t="n"/>
      <c r="L8" s="20" t="n"/>
      <c r="M8" s="20" t="n"/>
      <c r="N8" s="20" t="n"/>
      <c r="O8" s="20" t="n"/>
      <c r="P8" s="27">
        <f>IF(OR(I8="",G8="",LEFT(H8,9)&lt;&gt;"Incentivo",VALOR_CAPTADO=0),"",SUMIFS($G$8:$G$207,$I$8:$I$207,I8,$H$8:$H$207,"Incentivo*")/VALOR_CAPTADO)</f>
        <v/>
      </c>
      <c r="Q8" s="21">
        <f>IF(AND(B8="",G8=""),"",IF(IF(AND(B8="",G8=""),"",IF(OR(E8="",F8=""),"🟡 Falta quantidade ou valor. ","")&amp;IF(H8="","🟡 Informe a fonte. ","")&amp;IF(K8="","🟡 Classifique a categoria de limite. ","")&amp;IF(TRIM(M8)="","🔴 Sem justificativa de vínculo: se não explica, não coloque. ","")&amp;IF(N8&lt;&gt;"Sim","🟡 Preço de mercado não conferido. ","")&amp;IF(O8="Sim","🔴 Possível DUPLA COBERTURA: a mesma despesa não pode ser paga duas vezes. ","")&amp;IF(AND(L8="Sim",K8&lt;&gt;"Remuneração do proponente"),"🟡 Pessoa vinculada: este valor SOMA no limite de remuneração do proponente. ","")&amp;IF(P8="","",IF(P8&gt;L_FORNECEDOR,"🔴 Fornecedor acima do limite sobre o valor captado (confira exceções). ",IF(P8&gt;=L_FORNECEDOR*MARGEM,"🟡 Fornecedor perto do limite. ","")))&amp;IF(AND(LEFT(K8,5)="Cachê",F8&lt;&gt;""),IF(F8&gt;IFERROR(VLOOKUP(K8,TAB_CATEGORIAS,2,FALSE),9E+99),"🔴 Cachê acima do limite: só com outras fontes ou apreciação da CNIC. ",""),"")&amp;IF(AND(LEFT(H8,6)="Outras",K8&lt;&gt;""),"🟡 Outras fontes: confirme que o recurso existe e está comprometido. ",""))="","🟢 CONFERIDO",IF(AND(B8="",G8=""),"",IF(OR(E8="",F8=""),"🟡 Falta quantidade ou valor. ","")&amp;IF(H8="","🟡 Informe a fonte. ","")&amp;IF(K8="","🟡 Classifique a categoria de limite. ","")&amp;IF(TRIM(M8)="","🔴 Sem justificativa de vínculo: se não explica, não coloque. ","")&amp;IF(N8&lt;&gt;"Sim","🟡 Preço de mercado não conferido. ","")&amp;IF(O8="Sim","🔴 Possível DUPLA COBERTURA: a mesma despesa não pode ser paga duas vezes. ","")&amp;IF(AND(L8="Sim",K8&lt;&gt;"Remuneração do proponente"),"🟡 Pessoa vinculada: este valor SOMA no limite de remuneração do proponente. ","")&amp;IF(P8="","",IF(P8&gt;L_FORNECEDOR,"🔴 Fornecedor acima do limite sobre o valor captado (confira exceções). ",IF(P8&gt;=L_FORNECEDOR*MARGEM,"🟡 Fornecedor perto do limite. ","")))&amp;IF(AND(LEFT(K8,5)="Cachê",F8&lt;&gt;""),IF(F8&gt;IFERROR(VLOOKUP(K8,TAB_CATEGORIAS,2,FALSE),9E+99),"🔴 Cachê acima do limite: só com outras fontes ou apreciação da CNIC. ",""),"")&amp;IF(AND(LEFT(H8,6)="Outras",K8&lt;&gt;""),"🟡 Outras fontes: confirme que o recurso existe e está comprometido. ",""))))</f>
        <v/>
      </c>
    </row>
    <row r="9">
      <c r="A9" s="20" t="n"/>
      <c r="B9" s="20" t="n"/>
      <c r="C9" s="20" t="n"/>
      <c r="D9" s="20" t="n"/>
      <c r="E9" s="20" t="n"/>
      <c r="F9" s="17" t="n"/>
      <c r="G9" s="26">
        <f>IF(OR(E9="",F9=""),"",E9*F9)</f>
        <v/>
      </c>
      <c r="H9" s="20" t="n"/>
      <c r="I9" s="20" t="n"/>
      <c r="J9" s="20" t="n"/>
      <c r="K9" s="20" t="n"/>
      <c r="L9" s="20" t="n"/>
      <c r="M9" s="20" t="n"/>
      <c r="N9" s="20" t="n"/>
      <c r="O9" s="20" t="n"/>
      <c r="P9" s="27">
        <f>IF(OR(I9="",G9="",LEFT(H9,9)&lt;&gt;"Incentivo",VALOR_CAPTADO=0),"",SUMIFS($G$8:$G$207,$I$8:$I$207,I9,$H$8:$H$207,"Incentivo*")/VALOR_CAPTADO)</f>
        <v/>
      </c>
      <c r="Q9" s="21">
        <f>IF(AND(B9="",G9=""),"",IF(IF(AND(B9="",G9=""),"",IF(OR(E9="",F9=""),"🟡 Falta quantidade ou valor. ","")&amp;IF(H9="","🟡 Informe a fonte. ","")&amp;IF(K9="","🟡 Classifique a categoria de limite. ","")&amp;IF(TRIM(M9)="","🔴 Sem justificativa de vínculo: se não explica, não coloque. ","")&amp;IF(N9&lt;&gt;"Sim","🟡 Preço de mercado não conferido. ","")&amp;IF(O9="Sim","🔴 Possível DUPLA COBERTURA: a mesma despesa não pode ser paga duas vezes. ","")&amp;IF(AND(L9="Sim",K9&lt;&gt;"Remuneração do proponente"),"🟡 Pessoa vinculada: este valor SOMA no limite de remuneração do proponente. ","")&amp;IF(P9="","",IF(P9&gt;L_FORNECEDOR,"🔴 Fornecedor acima do limite sobre o valor captado (confira exceções). ",IF(P9&gt;=L_FORNECEDOR*MARGEM,"🟡 Fornecedor perto do limite. ","")))&amp;IF(AND(LEFT(K9,5)="Cachê",F9&lt;&gt;""),IF(F9&gt;IFERROR(VLOOKUP(K9,TAB_CATEGORIAS,2,FALSE),9E+99),"🔴 Cachê acima do limite: só com outras fontes ou apreciação da CNIC. ",""),"")&amp;IF(AND(LEFT(H9,6)="Outras",K9&lt;&gt;""),"🟡 Outras fontes: confirme que o recurso existe e está comprometido. ",""))="","🟢 CONFERIDO",IF(AND(B9="",G9=""),"",IF(OR(E9="",F9=""),"🟡 Falta quantidade ou valor. ","")&amp;IF(H9="","🟡 Informe a fonte. ","")&amp;IF(K9="","🟡 Classifique a categoria de limite. ","")&amp;IF(TRIM(M9)="","🔴 Sem justificativa de vínculo: se não explica, não coloque. ","")&amp;IF(N9&lt;&gt;"Sim","🟡 Preço de mercado não conferido. ","")&amp;IF(O9="Sim","🔴 Possível DUPLA COBERTURA: a mesma despesa não pode ser paga duas vezes. ","")&amp;IF(AND(L9="Sim",K9&lt;&gt;"Remuneração do proponente"),"🟡 Pessoa vinculada: este valor SOMA no limite de remuneração do proponente. ","")&amp;IF(P9="","",IF(P9&gt;L_FORNECEDOR,"🔴 Fornecedor acima do limite sobre o valor captado (confira exceções). ",IF(P9&gt;=L_FORNECEDOR*MARGEM,"🟡 Fornecedor perto do limite. ","")))&amp;IF(AND(LEFT(K9,5)="Cachê",F9&lt;&gt;""),IF(F9&gt;IFERROR(VLOOKUP(K9,TAB_CATEGORIAS,2,FALSE),9E+99),"🔴 Cachê acima do limite: só com outras fontes ou apreciação da CNIC. ",""),"")&amp;IF(AND(LEFT(H9,6)="Outras",K9&lt;&gt;""),"🟡 Outras fontes: confirme que o recurso existe e está comprometido. ",""))))</f>
        <v/>
      </c>
    </row>
    <row r="10">
      <c r="A10" s="20" t="n"/>
      <c r="B10" s="20" t="n"/>
      <c r="C10" s="20" t="n"/>
      <c r="D10" s="20" t="n"/>
      <c r="E10" s="20" t="n"/>
      <c r="F10" s="17" t="n"/>
      <c r="G10" s="26">
        <f>IF(OR(E10="",F10=""),"",E10*F10)</f>
        <v/>
      </c>
      <c r="H10" s="20" t="n"/>
      <c r="I10" s="20" t="n"/>
      <c r="J10" s="20" t="n"/>
      <c r="K10" s="20" t="n"/>
      <c r="L10" s="20" t="n"/>
      <c r="M10" s="20" t="n"/>
      <c r="N10" s="20" t="n"/>
      <c r="O10" s="20" t="n"/>
      <c r="P10" s="27">
        <f>IF(OR(I10="",G10="",LEFT(H10,9)&lt;&gt;"Incentivo",VALOR_CAPTADO=0),"",SUMIFS($G$8:$G$207,$I$8:$I$207,I10,$H$8:$H$207,"Incentivo*")/VALOR_CAPTADO)</f>
        <v/>
      </c>
      <c r="Q10" s="21">
        <f>IF(AND(B10="",G10=""),"",IF(IF(AND(B10="",G10=""),"",IF(OR(E10="",F10=""),"🟡 Falta quantidade ou valor. ","")&amp;IF(H10="","🟡 Informe a fonte. ","")&amp;IF(K10="","🟡 Classifique a categoria de limite. ","")&amp;IF(TRIM(M10)="","🔴 Sem justificativa de vínculo: se não explica, não coloque. ","")&amp;IF(N10&lt;&gt;"Sim","🟡 Preço de mercado não conferido. ","")&amp;IF(O10="Sim","🔴 Possível DUPLA COBERTURA: a mesma despesa não pode ser paga duas vezes. ","")&amp;IF(AND(L10="Sim",K10&lt;&gt;"Remuneração do proponente"),"🟡 Pessoa vinculada: este valor SOMA no limite de remuneração do proponente. ","")&amp;IF(P10="","",IF(P10&gt;L_FORNECEDOR,"🔴 Fornecedor acima do limite sobre o valor captado (confira exceções). ",IF(P10&gt;=L_FORNECEDOR*MARGEM,"🟡 Fornecedor perto do limite. ","")))&amp;IF(AND(LEFT(K10,5)="Cachê",F10&lt;&gt;""),IF(F10&gt;IFERROR(VLOOKUP(K10,TAB_CATEGORIAS,2,FALSE),9E+99),"🔴 Cachê acima do limite: só com outras fontes ou apreciação da CNIC. ",""),"")&amp;IF(AND(LEFT(H10,6)="Outras",K10&lt;&gt;""),"🟡 Outras fontes: confirme que o recurso existe e está comprometido. ",""))="","🟢 CONFERIDO",IF(AND(B10="",G10=""),"",IF(OR(E10="",F10=""),"🟡 Falta quantidade ou valor. ","")&amp;IF(H10="","🟡 Informe a fonte. ","")&amp;IF(K10="","🟡 Classifique a categoria de limite. ","")&amp;IF(TRIM(M10)="","🔴 Sem justificativa de vínculo: se não explica, não coloque. ","")&amp;IF(N10&lt;&gt;"Sim","🟡 Preço de mercado não conferido. ","")&amp;IF(O10="Sim","🔴 Possível DUPLA COBERTURA: a mesma despesa não pode ser paga duas vezes. ","")&amp;IF(AND(L10="Sim",K10&lt;&gt;"Remuneração do proponente"),"🟡 Pessoa vinculada: este valor SOMA no limite de remuneração do proponente. ","")&amp;IF(P10="","",IF(P10&gt;L_FORNECEDOR,"🔴 Fornecedor acima do limite sobre o valor captado (confira exceções). ",IF(P10&gt;=L_FORNECEDOR*MARGEM,"🟡 Fornecedor perto do limite. ","")))&amp;IF(AND(LEFT(K10,5)="Cachê",F10&lt;&gt;""),IF(F10&gt;IFERROR(VLOOKUP(K10,TAB_CATEGORIAS,2,FALSE),9E+99),"🔴 Cachê acima do limite: só com outras fontes ou apreciação da CNIC. ",""),"")&amp;IF(AND(LEFT(H10,6)="Outras",K10&lt;&gt;""),"🟡 Outras fontes: confirme que o recurso existe e está comprometido. ",""))))</f>
        <v/>
      </c>
    </row>
    <row r="11">
      <c r="A11" s="20" t="n"/>
      <c r="B11" s="20" t="n"/>
      <c r="C11" s="20" t="n"/>
      <c r="D11" s="20" t="n"/>
      <c r="E11" s="20" t="n"/>
      <c r="F11" s="17" t="n"/>
      <c r="G11" s="26">
        <f>IF(OR(E11="",F11=""),"",E11*F11)</f>
        <v/>
      </c>
      <c r="H11" s="20" t="n"/>
      <c r="I11" s="20" t="n"/>
      <c r="J11" s="20" t="n"/>
      <c r="K11" s="20" t="n"/>
      <c r="L11" s="20" t="n"/>
      <c r="M11" s="20" t="n"/>
      <c r="N11" s="20" t="n"/>
      <c r="O11" s="20" t="n"/>
      <c r="P11" s="27">
        <f>IF(OR(I11="",G11="",LEFT(H11,9)&lt;&gt;"Incentivo",VALOR_CAPTADO=0),"",SUMIFS($G$8:$G$207,$I$8:$I$207,I11,$H$8:$H$207,"Incentivo*")/VALOR_CAPTADO)</f>
        <v/>
      </c>
      <c r="Q11" s="21">
        <f>IF(AND(B11="",G11=""),"",IF(IF(AND(B11="",G11=""),"",IF(OR(E11="",F11=""),"🟡 Falta quantidade ou valor. ","")&amp;IF(H11="","🟡 Informe a fonte. ","")&amp;IF(K11="","🟡 Classifique a categoria de limite. ","")&amp;IF(TRIM(M11)="","🔴 Sem justificativa de vínculo: se não explica, não coloque. ","")&amp;IF(N11&lt;&gt;"Sim","🟡 Preço de mercado não conferido. ","")&amp;IF(O11="Sim","🔴 Possível DUPLA COBERTURA: a mesma despesa não pode ser paga duas vezes. ","")&amp;IF(AND(L11="Sim",K11&lt;&gt;"Remuneração do proponente"),"🟡 Pessoa vinculada: este valor SOMA no limite de remuneração do proponente. ","")&amp;IF(P11="","",IF(P11&gt;L_FORNECEDOR,"🔴 Fornecedor acima do limite sobre o valor captado (confira exceções). ",IF(P11&gt;=L_FORNECEDOR*MARGEM,"🟡 Fornecedor perto do limite. ","")))&amp;IF(AND(LEFT(K11,5)="Cachê",F11&lt;&gt;""),IF(F11&gt;IFERROR(VLOOKUP(K11,TAB_CATEGORIAS,2,FALSE),9E+99),"🔴 Cachê acima do limite: só com outras fontes ou apreciação da CNIC. ",""),"")&amp;IF(AND(LEFT(H11,6)="Outras",K11&lt;&gt;""),"🟡 Outras fontes: confirme que o recurso existe e está comprometido. ",""))="","🟢 CONFERIDO",IF(AND(B11="",G11=""),"",IF(OR(E11="",F11=""),"🟡 Falta quantidade ou valor. ","")&amp;IF(H11="","🟡 Informe a fonte. ","")&amp;IF(K11="","🟡 Classifique a categoria de limite. ","")&amp;IF(TRIM(M11)="","🔴 Sem justificativa de vínculo: se não explica, não coloque. ","")&amp;IF(N11&lt;&gt;"Sim","🟡 Preço de mercado não conferido. ","")&amp;IF(O11="Sim","🔴 Possível DUPLA COBERTURA: a mesma despesa não pode ser paga duas vezes. ","")&amp;IF(AND(L11="Sim",K11&lt;&gt;"Remuneração do proponente"),"🟡 Pessoa vinculada: este valor SOMA no limite de remuneração do proponente. ","")&amp;IF(P11="","",IF(P11&gt;L_FORNECEDOR,"🔴 Fornecedor acima do limite sobre o valor captado (confira exceções). ",IF(P11&gt;=L_FORNECEDOR*MARGEM,"🟡 Fornecedor perto do limite. ","")))&amp;IF(AND(LEFT(K11,5)="Cachê",F11&lt;&gt;""),IF(F11&gt;IFERROR(VLOOKUP(K11,TAB_CATEGORIAS,2,FALSE),9E+99),"🔴 Cachê acima do limite: só com outras fontes ou apreciação da CNIC. ",""),"")&amp;IF(AND(LEFT(H11,6)="Outras",K11&lt;&gt;""),"🟡 Outras fontes: confirme que o recurso existe e está comprometido. ",""))))</f>
        <v/>
      </c>
    </row>
    <row r="12">
      <c r="A12" s="20" t="n"/>
      <c r="B12" s="20" t="n"/>
      <c r="C12" s="20" t="n"/>
      <c r="D12" s="20" t="n"/>
      <c r="E12" s="20" t="n"/>
      <c r="F12" s="17" t="n"/>
      <c r="G12" s="26">
        <f>IF(OR(E12="",F12=""),"",E12*F12)</f>
        <v/>
      </c>
      <c r="H12" s="20" t="n"/>
      <c r="I12" s="20" t="n"/>
      <c r="J12" s="20" t="n"/>
      <c r="K12" s="20" t="n"/>
      <c r="L12" s="20" t="n"/>
      <c r="M12" s="20" t="n"/>
      <c r="N12" s="20" t="n"/>
      <c r="O12" s="20" t="n"/>
      <c r="P12" s="27">
        <f>IF(OR(I12="",G12="",LEFT(H12,9)&lt;&gt;"Incentivo",VALOR_CAPTADO=0),"",SUMIFS($G$8:$G$207,$I$8:$I$207,I12,$H$8:$H$207,"Incentivo*")/VALOR_CAPTADO)</f>
        <v/>
      </c>
      <c r="Q12" s="21">
        <f>IF(AND(B12="",G12=""),"",IF(IF(AND(B12="",G12=""),"",IF(OR(E12="",F12=""),"🟡 Falta quantidade ou valor. ","")&amp;IF(H12="","🟡 Informe a fonte. ","")&amp;IF(K12="","🟡 Classifique a categoria de limite. ","")&amp;IF(TRIM(M12)="","🔴 Sem justificativa de vínculo: se não explica, não coloque. ","")&amp;IF(N12&lt;&gt;"Sim","🟡 Preço de mercado não conferido. ","")&amp;IF(O12="Sim","🔴 Possível DUPLA COBERTURA: a mesma despesa não pode ser paga duas vezes. ","")&amp;IF(AND(L12="Sim",K12&lt;&gt;"Remuneração do proponente"),"🟡 Pessoa vinculada: este valor SOMA no limite de remuneração do proponente. ","")&amp;IF(P12="","",IF(P12&gt;L_FORNECEDOR,"🔴 Fornecedor acima do limite sobre o valor captado (confira exceções). ",IF(P12&gt;=L_FORNECEDOR*MARGEM,"🟡 Fornecedor perto do limite. ","")))&amp;IF(AND(LEFT(K12,5)="Cachê",F12&lt;&gt;""),IF(F12&gt;IFERROR(VLOOKUP(K12,TAB_CATEGORIAS,2,FALSE),9E+99),"🔴 Cachê acima do limite: só com outras fontes ou apreciação da CNIC. ",""),"")&amp;IF(AND(LEFT(H12,6)="Outras",K12&lt;&gt;""),"🟡 Outras fontes: confirme que o recurso existe e está comprometido. ",""))="","🟢 CONFERIDO",IF(AND(B12="",G12=""),"",IF(OR(E12="",F12=""),"🟡 Falta quantidade ou valor. ","")&amp;IF(H12="","🟡 Informe a fonte. ","")&amp;IF(K12="","🟡 Classifique a categoria de limite. ","")&amp;IF(TRIM(M12)="","🔴 Sem justificativa de vínculo: se não explica, não coloque. ","")&amp;IF(N12&lt;&gt;"Sim","🟡 Preço de mercado não conferido. ","")&amp;IF(O12="Sim","🔴 Possível DUPLA COBERTURA: a mesma despesa não pode ser paga duas vezes. ","")&amp;IF(AND(L12="Sim",K12&lt;&gt;"Remuneração do proponente"),"🟡 Pessoa vinculada: este valor SOMA no limite de remuneração do proponente. ","")&amp;IF(P12="","",IF(P12&gt;L_FORNECEDOR,"🔴 Fornecedor acima do limite sobre o valor captado (confira exceções). ",IF(P12&gt;=L_FORNECEDOR*MARGEM,"🟡 Fornecedor perto do limite. ","")))&amp;IF(AND(LEFT(K12,5)="Cachê",F12&lt;&gt;""),IF(F12&gt;IFERROR(VLOOKUP(K12,TAB_CATEGORIAS,2,FALSE),9E+99),"🔴 Cachê acima do limite: só com outras fontes ou apreciação da CNIC. ",""),"")&amp;IF(AND(LEFT(H12,6)="Outras",K12&lt;&gt;""),"🟡 Outras fontes: confirme que o recurso existe e está comprometido. ",""))))</f>
        <v/>
      </c>
    </row>
    <row r="13">
      <c r="A13" s="20" t="n"/>
      <c r="B13" s="20" t="n"/>
      <c r="C13" s="20" t="n"/>
      <c r="D13" s="20" t="n"/>
      <c r="E13" s="20" t="n"/>
      <c r="F13" s="17" t="n"/>
      <c r="G13" s="26">
        <f>IF(OR(E13="",F13=""),"",E13*F13)</f>
        <v/>
      </c>
      <c r="H13" s="20" t="n"/>
      <c r="I13" s="20" t="n"/>
      <c r="J13" s="20" t="n"/>
      <c r="K13" s="20" t="n"/>
      <c r="L13" s="20" t="n"/>
      <c r="M13" s="20" t="n"/>
      <c r="N13" s="20" t="n"/>
      <c r="O13" s="20" t="n"/>
      <c r="P13" s="27">
        <f>IF(OR(I13="",G13="",LEFT(H13,9)&lt;&gt;"Incentivo",VALOR_CAPTADO=0),"",SUMIFS($G$8:$G$207,$I$8:$I$207,I13,$H$8:$H$207,"Incentivo*")/VALOR_CAPTADO)</f>
        <v/>
      </c>
      <c r="Q13" s="21">
        <f>IF(AND(B13="",G13=""),"",IF(IF(AND(B13="",G13=""),"",IF(OR(E13="",F13=""),"🟡 Falta quantidade ou valor. ","")&amp;IF(H13="","🟡 Informe a fonte. ","")&amp;IF(K13="","🟡 Classifique a categoria de limite. ","")&amp;IF(TRIM(M13)="","🔴 Sem justificativa de vínculo: se não explica, não coloque. ","")&amp;IF(N13&lt;&gt;"Sim","🟡 Preço de mercado não conferido. ","")&amp;IF(O13="Sim","🔴 Possível DUPLA COBERTURA: a mesma despesa não pode ser paga duas vezes. ","")&amp;IF(AND(L13="Sim",K13&lt;&gt;"Remuneração do proponente"),"🟡 Pessoa vinculada: este valor SOMA no limite de remuneração do proponente. ","")&amp;IF(P13="","",IF(P13&gt;L_FORNECEDOR,"🔴 Fornecedor acima do limite sobre o valor captado (confira exceções). ",IF(P13&gt;=L_FORNECEDOR*MARGEM,"🟡 Fornecedor perto do limite. ","")))&amp;IF(AND(LEFT(K13,5)="Cachê",F13&lt;&gt;""),IF(F13&gt;IFERROR(VLOOKUP(K13,TAB_CATEGORIAS,2,FALSE),9E+99),"🔴 Cachê acima do limite: só com outras fontes ou apreciação da CNIC. ",""),"")&amp;IF(AND(LEFT(H13,6)="Outras",K13&lt;&gt;""),"🟡 Outras fontes: confirme que o recurso existe e está comprometido. ",""))="","🟢 CONFERIDO",IF(AND(B13="",G13=""),"",IF(OR(E13="",F13=""),"🟡 Falta quantidade ou valor. ","")&amp;IF(H13="","🟡 Informe a fonte. ","")&amp;IF(K13="","🟡 Classifique a categoria de limite. ","")&amp;IF(TRIM(M13)="","🔴 Sem justificativa de vínculo: se não explica, não coloque. ","")&amp;IF(N13&lt;&gt;"Sim","🟡 Preço de mercado não conferido. ","")&amp;IF(O13="Sim","🔴 Possível DUPLA COBERTURA: a mesma despesa não pode ser paga duas vezes. ","")&amp;IF(AND(L13="Sim",K13&lt;&gt;"Remuneração do proponente"),"🟡 Pessoa vinculada: este valor SOMA no limite de remuneração do proponente. ","")&amp;IF(P13="","",IF(P13&gt;L_FORNECEDOR,"🔴 Fornecedor acima do limite sobre o valor captado (confira exceções). ",IF(P13&gt;=L_FORNECEDOR*MARGEM,"🟡 Fornecedor perto do limite. ","")))&amp;IF(AND(LEFT(K13,5)="Cachê",F13&lt;&gt;""),IF(F13&gt;IFERROR(VLOOKUP(K13,TAB_CATEGORIAS,2,FALSE),9E+99),"🔴 Cachê acima do limite: só com outras fontes ou apreciação da CNIC. ",""),"")&amp;IF(AND(LEFT(H13,6)="Outras",K13&lt;&gt;""),"🟡 Outras fontes: confirme que o recurso existe e está comprometido. ",""))))</f>
        <v/>
      </c>
    </row>
    <row r="14">
      <c r="A14" s="20" t="n"/>
      <c r="B14" s="20" t="n"/>
      <c r="C14" s="20" t="n"/>
      <c r="D14" s="20" t="n"/>
      <c r="E14" s="20" t="n"/>
      <c r="F14" s="17" t="n"/>
      <c r="G14" s="26">
        <f>IF(OR(E14="",F14=""),"",E14*F14)</f>
        <v/>
      </c>
      <c r="H14" s="20" t="n"/>
      <c r="I14" s="20" t="n"/>
      <c r="J14" s="20" t="n"/>
      <c r="K14" s="20" t="n"/>
      <c r="L14" s="20" t="n"/>
      <c r="M14" s="20" t="n"/>
      <c r="N14" s="20" t="n"/>
      <c r="O14" s="20" t="n"/>
      <c r="P14" s="27">
        <f>IF(OR(I14="",G14="",LEFT(H14,9)&lt;&gt;"Incentivo",VALOR_CAPTADO=0),"",SUMIFS($G$8:$G$207,$I$8:$I$207,I14,$H$8:$H$207,"Incentivo*")/VALOR_CAPTADO)</f>
        <v/>
      </c>
      <c r="Q14" s="21">
        <f>IF(AND(B14="",G14=""),"",IF(IF(AND(B14="",G14=""),"",IF(OR(E14="",F14=""),"🟡 Falta quantidade ou valor. ","")&amp;IF(H14="","🟡 Informe a fonte. ","")&amp;IF(K14="","🟡 Classifique a categoria de limite. ","")&amp;IF(TRIM(M14)="","🔴 Sem justificativa de vínculo: se não explica, não coloque. ","")&amp;IF(N14&lt;&gt;"Sim","🟡 Preço de mercado não conferido. ","")&amp;IF(O14="Sim","🔴 Possível DUPLA COBERTURA: a mesma despesa não pode ser paga duas vezes. ","")&amp;IF(AND(L14="Sim",K14&lt;&gt;"Remuneração do proponente"),"🟡 Pessoa vinculada: este valor SOMA no limite de remuneração do proponente. ","")&amp;IF(P14="","",IF(P14&gt;L_FORNECEDOR,"🔴 Fornecedor acima do limite sobre o valor captado (confira exceções). ",IF(P14&gt;=L_FORNECEDOR*MARGEM,"🟡 Fornecedor perto do limite. ","")))&amp;IF(AND(LEFT(K14,5)="Cachê",F14&lt;&gt;""),IF(F14&gt;IFERROR(VLOOKUP(K14,TAB_CATEGORIAS,2,FALSE),9E+99),"🔴 Cachê acima do limite: só com outras fontes ou apreciação da CNIC. ",""),"")&amp;IF(AND(LEFT(H14,6)="Outras",K14&lt;&gt;""),"🟡 Outras fontes: confirme que o recurso existe e está comprometido. ",""))="","🟢 CONFERIDO",IF(AND(B14="",G14=""),"",IF(OR(E14="",F14=""),"🟡 Falta quantidade ou valor. ","")&amp;IF(H14="","🟡 Informe a fonte. ","")&amp;IF(K14="","🟡 Classifique a categoria de limite. ","")&amp;IF(TRIM(M14)="","🔴 Sem justificativa de vínculo: se não explica, não coloque. ","")&amp;IF(N14&lt;&gt;"Sim","🟡 Preço de mercado não conferido. ","")&amp;IF(O14="Sim","🔴 Possível DUPLA COBERTURA: a mesma despesa não pode ser paga duas vezes. ","")&amp;IF(AND(L14="Sim",K14&lt;&gt;"Remuneração do proponente"),"🟡 Pessoa vinculada: este valor SOMA no limite de remuneração do proponente. ","")&amp;IF(P14="","",IF(P14&gt;L_FORNECEDOR,"🔴 Fornecedor acima do limite sobre o valor captado (confira exceções). ",IF(P14&gt;=L_FORNECEDOR*MARGEM,"🟡 Fornecedor perto do limite. ","")))&amp;IF(AND(LEFT(K14,5)="Cachê",F14&lt;&gt;""),IF(F14&gt;IFERROR(VLOOKUP(K14,TAB_CATEGORIAS,2,FALSE),9E+99),"🔴 Cachê acima do limite: só com outras fontes ou apreciação da CNIC. ",""),"")&amp;IF(AND(LEFT(H14,6)="Outras",K14&lt;&gt;""),"🟡 Outras fontes: confirme que o recurso existe e está comprometido. ",""))))</f>
        <v/>
      </c>
    </row>
    <row r="15">
      <c r="A15" s="20" t="n"/>
      <c r="B15" s="20" t="n"/>
      <c r="C15" s="20" t="n"/>
      <c r="D15" s="20" t="n"/>
      <c r="E15" s="20" t="n"/>
      <c r="F15" s="17" t="n"/>
      <c r="G15" s="26">
        <f>IF(OR(E15="",F15=""),"",E15*F15)</f>
        <v/>
      </c>
      <c r="H15" s="20" t="n"/>
      <c r="I15" s="20" t="n"/>
      <c r="J15" s="20" t="n"/>
      <c r="K15" s="20" t="n"/>
      <c r="L15" s="20" t="n"/>
      <c r="M15" s="20" t="n"/>
      <c r="N15" s="20" t="n"/>
      <c r="O15" s="20" t="n"/>
      <c r="P15" s="27">
        <f>IF(OR(I15="",G15="",LEFT(H15,9)&lt;&gt;"Incentivo",VALOR_CAPTADO=0),"",SUMIFS($G$8:$G$207,$I$8:$I$207,I15,$H$8:$H$207,"Incentivo*")/VALOR_CAPTADO)</f>
        <v/>
      </c>
      <c r="Q15" s="21">
        <f>IF(AND(B15="",G15=""),"",IF(IF(AND(B15="",G15=""),"",IF(OR(E15="",F15=""),"🟡 Falta quantidade ou valor. ","")&amp;IF(H15="","🟡 Informe a fonte. ","")&amp;IF(K15="","🟡 Classifique a categoria de limite. ","")&amp;IF(TRIM(M15)="","🔴 Sem justificativa de vínculo: se não explica, não coloque. ","")&amp;IF(N15&lt;&gt;"Sim","🟡 Preço de mercado não conferido. ","")&amp;IF(O15="Sim","🔴 Possível DUPLA COBERTURA: a mesma despesa não pode ser paga duas vezes. ","")&amp;IF(AND(L15="Sim",K15&lt;&gt;"Remuneração do proponente"),"🟡 Pessoa vinculada: este valor SOMA no limite de remuneração do proponente. ","")&amp;IF(P15="","",IF(P15&gt;L_FORNECEDOR,"🔴 Fornecedor acima do limite sobre o valor captado (confira exceções). ",IF(P15&gt;=L_FORNECEDOR*MARGEM,"🟡 Fornecedor perto do limite. ","")))&amp;IF(AND(LEFT(K15,5)="Cachê",F15&lt;&gt;""),IF(F15&gt;IFERROR(VLOOKUP(K15,TAB_CATEGORIAS,2,FALSE),9E+99),"🔴 Cachê acima do limite: só com outras fontes ou apreciação da CNIC. ",""),"")&amp;IF(AND(LEFT(H15,6)="Outras",K15&lt;&gt;""),"🟡 Outras fontes: confirme que o recurso existe e está comprometido. ",""))="","🟢 CONFERIDO",IF(AND(B15="",G15=""),"",IF(OR(E15="",F15=""),"🟡 Falta quantidade ou valor. ","")&amp;IF(H15="","🟡 Informe a fonte. ","")&amp;IF(K15="","🟡 Classifique a categoria de limite. ","")&amp;IF(TRIM(M15)="","🔴 Sem justificativa de vínculo: se não explica, não coloque. ","")&amp;IF(N15&lt;&gt;"Sim","🟡 Preço de mercado não conferido. ","")&amp;IF(O15="Sim","🔴 Possível DUPLA COBERTURA: a mesma despesa não pode ser paga duas vezes. ","")&amp;IF(AND(L15="Sim",K15&lt;&gt;"Remuneração do proponente"),"🟡 Pessoa vinculada: este valor SOMA no limite de remuneração do proponente. ","")&amp;IF(P15="","",IF(P15&gt;L_FORNECEDOR,"🔴 Fornecedor acima do limite sobre o valor captado (confira exceções). ",IF(P15&gt;=L_FORNECEDOR*MARGEM,"🟡 Fornecedor perto do limite. ","")))&amp;IF(AND(LEFT(K15,5)="Cachê",F15&lt;&gt;""),IF(F15&gt;IFERROR(VLOOKUP(K15,TAB_CATEGORIAS,2,FALSE),9E+99),"🔴 Cachê acima do limite: só com outras fontes ou apreciação da CNIC. ",""),"")&amp;IF(AND(LEFT(H15,6)="Outras",K15&lt;&gt;""),"🟡 Outras fontes: confirme que o recurso existe e está comprometido. ",""))))</f>
        <v/>
      </c>
    </row>
    <row r="16">
      <c r="A16" s="20" t="n"/>
      <c r="B16" s="20" t="n"/>
      <c r="C16" s="20" t="n"/>
      <c r="D16" s="20" t="n"/>
      <c r="E16" s="20" t="n"/>
      <c r="F16" s="17" t="n"/>
      <c r="G16" s="26">
        <f>IF(OR(E16="",F16=""),"",E16*F16)</f>
        <v/>
      </c>
      <c r="H16" s="20" t="n"/>
      <c r="I16" s="20" t="n"/>
      <c r="J16" s="20" t="n"/>
      <c r="K16" s="20" t="n"/>
      <c r="L16" s="20" t="n"/>
      <c r="M16" s="20" t="n"/>
      <c r="N16" s="20" t="n"/>
      <c r="O16" s="20" t="n"/>
      <c r="P16" s="27">
        <f>IF(OR(I16="",G16="",LEFT(H16,9)&lt;&gt;"Incentivo",VALOR_CAPTADO=0),"",SUMIFS($G$8:$G$207,$I$8:$I$207,I16,$H$8:$H$207,"Incentivo*")/VALOR_CAPTADO)</f>
        <v/>
      </c>
      <c r="Q16" s="21">
        <f>IF(AND(B16="",G16=""),"",IF(IF(AND(B16="",G16=""),"",IF(OR(E16="",F16=""),"🟡 Falta quantidade ou valor. ","")&amp;IF(H16="","🟡 Informe a fonte. ","")&amp;IF(K16="","🟡 Classifique a categoria de limite. ","")&amp;IF(TRIM(M16)="","🔴 Sem justificativa de vínculo: se não explica, não coloque. ","")&amp;IF(N16&lt;&gt;"Sim","🟡 Preço de mercado não conferido. ","")&amp;IF(O16="Sim","🔴 Possível DUPLA COBERTURA: a mesma despesa não pode ser paga duas vezes. ","")&amp;IF(AND(L16="Sim",K16&lt;&gt;"Remuneração do proponente"),"🟡 Pessoa vinculada: este valor SOMA no limite de remuneração do proponente. ","")&amp;IF(P16="","",IF(P16&gt;L_FORNECEDOR,"🔴 Fornecedor acima do limite sobre o valor captado (confira exceções). ",IF(P16&gt;=L_FORNECEDOR*MARGEM,"🟡 Fornecedor perto do limite. ","")))&amp;IF(AND(LEFT(K16,5)="Cachê",F16&lt;&gt;""),IF(F16&gt;IFERROR(VLOOKUP(K16,TAB_CATEGORIAS,2,FALSE),9E+99),"🔴 Cachê acima do limite: só com outras fontes ou apreciação da CNIC. ",""),"")&amp;IF(AND(LEFT(H16,6)="Outras",K16&lt;&gt;""),"🟡 Outras fontes: confirme que o recurso existe e está comprometido. ",""))="","🟢 CONFERIDO",IF(AND(B16="",G16=""),"",IF(OR(E16="",F16=""),"🟡 Falta quantidade ou valor. ","")&amp;IF(H16="","🟡 Informe a fonte. ","")&amp;IF(K16="","🟡 Classifique a categoria de limite. ","")&amp;IF(TRIM(M16)="","🔴 Sem justificativa de vínculo: se não explica, não coloque. ","")&amp;IF(N16&lt;&gt;"Sim","🟡 Preço de mercado não conferido. ","")&amp;IF(O16="Sim","🔴 Possível DUPLA COBERTURA: a mesma despesa não pode ser paga duas vezes. ","")&amp;IF(AND(L16="Sim",K16&lt;&gt;"Remuneração do proponente"),"🟡 Pessoa vinculada: este valor SOMA no limite de remuneração do proponente. ","")&amp;IF(P16="","",IF(P16&gt;L_FORNECEDOR,"🔴 Fornecedor acima do limite sobre o valor captado (confira exceções). ",IF(P16&gt;=L_FORNECEDOR*MARGEM,"🟡 Fornecedor perto do limite. ","")))&amp;IF(AND(LEFT(K16,5)="Cachê",F16&lt;&gt;""),IF(F16&gt;IFERROR(VLOOKUP(K16,TAB_CATEGORIAS,2,FALSE),9E+99),"🔴 Cachê acima do limite: só com outras fontes ou apreciação da CNIC. ",""),"")&amp;IF(AND(LEFT(H16,6)="Outras",K16&lt;&gt;""),"🟡 Outras fontes: confirme que o recurso existe e está comprometido. ",""))))</f>
        <v/>
      </c>
    </row>
    <row r="17">
      <c r="A17" s="20" t="n"/>
      <c r="B17" s="20" t="n"/>
      <c r="C17" s="20" t="n"/>
      <c r="D17" s="20" t="n"/>
      <c r="E17" s="20" t="n"/>
      <c r="F17" s="17" t="n"/>
      <c r="G17" s="26">
        <f>IF(OR(E17="",F17=""),"",E17*F17)</f>
        <v/>
      </c>
      <c r="H17" s="20" t="n"/>
      <c r="I17" s="20" t="n"/>
      <c r="J17" s="20" t="n"/>
      <c r="K17" s="20" t="n"/>
      <c r="L17" s="20" t="n"/>
      <c r="M17" s="20" t="n"/>
      <c r="N17" s="20" t="n"/>
      <c r="O17" s="20" t="n"/>
      <c r="P17" s="27">
        <f>IF(OR(I17="",G17="",LEFT(H17,9)&lt;&gt;"Incentivo",VALOR_CAPTADO=0),"",SUMIFS($G$8:$G$207,$I$8:$I$207,I17,$H$8:$H$207,"Incentivo*")/VALOR_CAPTADO)</f>
        <v/>
      </c>
      <c r="Q17" s="21">
        <f>IF(AND(B17="",G17=""),"",IF(IF(AND(B17="",G17=""),"",IF(OR(E17="",F17=""),"🟡 Falta quantidade ou valor. ","")&amp;IF(H17="","🟡 Informe a fonte. ","")&amp;IF(K17="","🟡 Classifique a categoria de limite. ","")&amp;IF(TRIM(M17)="","🔴 Sem justificativa de vínculo: se não explica, não coloque. ","")&amp;IF(N17&lt;&gt;"Sim","🟡 Preço de mercado não conferido. ","")&amp;IF(O17="Sim","🔴 Possível DUPLA COBERTURA: a mesma despesa não pode ser paga duas vezes. ","")&amp;IF(AND(L17="Sim",K17&lt;&gt;"Remuneração do proponente"),"🟡 Pessoa vinculada: este valor SOMA no limite de remuneração do proponente. ","")&amp;IF(P17="","",IF(P17&gt;L_FORNECEDOR,"🔴 Fornecedor acima do limite sobre o valor captado (confira exceções). ",IF(P17&gt;=L_FORNECEDOR*MARGEM,"🟡 Fornecedor perto do limite. ","")))&amp;IF(AND(LEFT(K17,5)="Cachê",F17&lt;&gt;""),IF(F17&gt;IFERROR(VLOOKUP(K17,TAB_CATEGORIAS,2,FALSE),9E+99),"🔴 Cachê acima do limite: só com outras fontes ou apreciação da CNIC. ",""),"")&amp;IF(AND(LEFT(H17,6)="Outras",K17&lt;&gt;""),"🟡 Outras fontes: confirme que o recurso existe e está comprometido. ",""))="","🟢 CONFERIDO",IF(AND(B17="",G17=""),"",IF(OR(E17="",F17=""),"🟡 Falta quantidade ou valor. ","")&amp;IF(H17="","🟡 Informe a fonte. ","")&amp;IF(K17="","🟡 Classifique a categoria de limite. ","")&amp;IF(TRIM(M17)="","🔴 Sem justificativa de vínculo: se não explica, não coloque. ","")&amp;IF(N17&lt;&gt;"Sim","🟡 Preço de mercado não conferido. ","")&amp;IF(O17="Sim","🔴 Possível DUPLA COBERTURA: a mesma despesa não pode ser paga duas vezes. ","")&amp;IF(AND(L17="Sim",K17&lt;&gt;"Remuneração do proponente"),"🟡 Pessoa vinculada: este valor SOMA no limite de remuneração do proponente. ","")&amp;IF(P17="","",IF(P17&gt;L_FORNECEDOR,"🔴 Fornecedor acima do limite sobre o valor captado (confira exceções). ",IF(P17&gt;=L_FORNECEDOR*MARGEM,"🟡 Fornecedor perto do limite. ","")))&amp;IF(AND(LEFT(K17,5)="Cachê",F17&lt;&gt;""),IF(F17&gt;IFERROR(VLOOKUP(K17,TAB_CATEGORIAS,2,FALSE),9E+99),"🔴 Cachê acima do limite: só com outras fontes ou apreciação da CNIC. ",""),"")&amp;IF(AND(LEFT(H17,6)="Outras",K17&lt;&gt;""),"🟡 Outras fontes: confirme que o recurso existe e está comprometido. ",""))))</f>
        <v/>
      </c>
    </row>
    <row r="18">
      <c r="A18" s="20" t="n"/>
      <c r="B18" s="20" t="n"/>
      <c r="C18" s="20" t="n"/>
      <c r="D18" s="20" t="n"/>
      <c r="E18" s="20" t="n"/>
      <c r="F18" s="17" t="n"/>
      <c r="G18" s="26">
        <f>IF(OR(E18="",F18=""),"",E18*F18)</f>
        <v/>
      </c>
      <c r="H18" s="20" t="n"/>
      <c r="I18" s="20" t="n"/>
      <c r="J18" s="20" t="n"/>
      <c r="K18" s="20" t="n"/>
      <c r="L18" s="20" t="n"/>
      <c r="M18" s="20" t="n"/>
      <c r="N18" s="20" t="n"/>
      <c r="O18" s="20" t="n"/>
      <c r="P18" s="27">
        <f>IF(OR(I18="",G18="",LEFT(H18,9)&lt;&gt;"Incentivo",VALOR_CAPTADO=0),"",SUMIFS($G$8:$G$207,$I$8:$I$207,I18,$H$8:$H$207,"Incentivo*")/VALOR_CAPTADO)</f>
        <v/>
      </c>
      <c r="Q18" s="21">
        <f>IF(AND(B18="",G18=""),"",IF(IF(AND(B18="",G18=""),"",IF(OR(E18="",F18=""),"🟡 Falta quantidade ou valor. ","")&amp;IF(H18="","🟡 Informe a fonte. ","")&amp;IF(K18="","🟡 Classifique a categoria de limite. ","")&amp;IF(TRIM(M18)="","🔴 Sem justificativa de vínculo: se não explica, não coloque. ","")&amp;IF(N18&lt;&gt;"Sim","🟡 Preço de mercado não conferido. ","")&amp;IF(O18="Sim","🔴 Possível DUPLA COBERTURA: a mesma despesa não pode ser paga duas vezes. ","")&amp;IF(AND(L18="Sim",K18&lt;&gt;"Remuneração do proponente"),"🟡 Pessoa vinculada: este valor SOMA no limite de remuneração do proponente. ","")&amp;IF(P18="","",IF(P18&gt;L_FORNECEDOR,"🔴 Fornecedor acima do limite sobre o valor captado (confira exceções). ",IF(P18&gt;=L_FORNECEDOR*MARGEM,"🟡 Fornecedor perto do limite. ","")))&amp;IF(AND(LEFT(K18,5)="Cachê",F18&lt;&gt;""),IF(F18&gt;IFERROR(VLOOKUP(K18,TAB_CATEGORIAS,2,FALSE),9E+99),"🔴 Cachê acima do limite: só com outras fontes ou apreciação da CNIC. ",""),"")&amp;IF(AND(LEFT(H18,6)="Outras",K18&lt;&gt;""),"🟡 Outras fontes: confirme que o recurso existe e está comprometido. ",""))="","🟢 CONFERIDO",IF(AND(B18="",G18=""),"",IF(OR(E18="",F18=""),"🟡 Falta quantidade ou valor. ","")&amp;IF(H18="","🟡 Informe a fonte. ","")&amp;IF(K18="","🟡 Classifique a categoria de limite. ","")&amp;IF(TRIM(M18)="","🔴 Sem justificativa de vínculo: se não explica, não coloque. ","")&amp;IF(N18&lt;&gt;"Sim","🟡 Preço de mercado não conferido. ","")&amp;IF(O18="Sim","🔴 Possível DUPLA COBERTURA: a mesma despesa não pode ser paga duas vezes. ","")&amp;IF(AND(L18="Sim",K18&lt;&gt;"Remuneração do proponente"),"🟡 Pessoa vinculada: este valor SOMA no limite de remuneração do proponente. ","")&amp;IF(P18="","",IF(P18&gt;L_FORNECEDOR,"🔴 Fornecedor acima do limite sobre o valor captado (confira exceções). ",IF(P18&gt;=L_FORNECEDOR*MARGEM,"🟡 Fornecedor perto do limite. ","")))&amp;IF(AND(LEFT(K18,5)="Cachê",F18&lt;&gt;""),IF(F18&gt;IFERROR(VLOOKUP(K18,TAB_CATEGORIAS,2,FALSE),9E+99),"🔴 Cachê acima do limite: só com outras fontes ou apreciação da CNIC. ",""),"")&amp;IF(AND(LEFT(H18,6)="Outras",K18&lt;&gt;""),"🟡 Outras fontes: confirme que o recurso existe e está comprometido. ",""))))</f>
        <v/>
      </c>
    </row>
    <row r="19">
      <c r="A19" s="20" t="n"/>
      <c r="B19" s="20" t="n"/>
      <c r="C19" s="20" t="n"/>
      <c r="D19" s="20" t="n"/>
      <c r="E19" s="20" t="n"/>
      <c r="F19" s="17" t="n"/>
      <c r="G19" s="26">
        <f>IF(OR(E19="",F19=""),"",E19*F19)</f>
        <v/>
      </c>
      <c r="H19" s="20" t="n"/>
      <c r="I19" s="20" t="n"/>
      <c r="J19" s="20" t="n"/>
      <c r="K19" s="20" t="n"/>
      <c r="L19" s="20" t="n"/>
      <c r="M19" s="20" t="n"/>
      <c r="N19" s="20" t="n"/>
      <c r="O19" s="20" t="n"/>
      <c r="P19" s="27">
        <f>IF(OR(I19="",G19="",LEFT(H19,9)&lt;&gt;"Incentivo",VALOR_CAPTADO=0),"",SUMIFS($G$8:$G$207,$I$8:$I$207,I19,$H$8:$H$207,"Incentivo*")/VALOR_CAPTADO)</f>
        <v/>
      </c>
      <c r="Q19" s="21">
        <f>IF(AND(B19="",G19=""),"",IF(IF(AND(B19="",G19=""),"",IF(OR(E19="",F19=""),"🟡 Falta quantidade ou valor. ","")&amp;IF(H19="","🟡 Informe a fonte. ","")&amp;IF(K19="","🟡 Classifique a categoria de limite. ","")&amp;IF(TRIM(M19)="","🔴 Sem justificativa de vínculo: se não explica, não coloque. ","")&amp;IF(N19&lt;&gt;"Sim","🟡 Preço de mercado não conferido. ","")&amp;IF(O19="Sim","🔴 Possível DUPLA COBERTURA: a mesma despesa não pode ser paga duas vezes. ","")&amp;IF(AND(L19="Sim",K19&lt;&gt;"Remuneração do proponente"),"🟡 Pessoa vinculada: este valor SOMA no limite de remuneração do proponente. ","")&amp;IF(P19="","",IF(P19&gt;L_FORNECEDOR,"🔴 Fornecedor acima do limite sobre o valor captado (confira exceções). ",IF(P19&gt;=L_FORNECEDOR*MARGEM,"🟡 Fornecedor perto do limite. ","")))&amp;IF(AND(LEFT(K19,5)="Cachê",F19&lt;&gt;""),IF(F19&gt;IFERROR(VLOOKUP(K19,TAB_CATEGORIAS,2,FALSE),9E+99),"🔴 Cachê acima do limite: só com outras fontes ou apreciação da CNIC. ",""),"")&amp;IF(AND(LEFT(H19,6)="Outras",K19&lt;&gt;""),"🟡 Outras fontes: confirme que o recurso existe e está comprometido. ",""))="","🟢 CONFERIDO",IF(AND(B19="",G19=""),"",IF(OR(E19="",F19=""),"🟡 Falta quantidade ou valor. ","")&amp;IF(H19="","🟡 Informe a fonte. ","")&amp;IF(K19="","🟡 Classifique a categoria de limite. ","")&amp;IF(TRIM(M19)="","🔴 Sem justificativa de vínculo: se não explica, não coloque. ","")&amp;IF(N19&lt;&gt;"Sim","🟡 Preço de mercado não conferido. ","")&amp;IF(O19="Sim","🔴 Possível DUPLA COBERTURA: a mesma despesa não pode ser paga duas vezes. ","")&amp;IF(AND(L19="Sim",K19&lt;&gt;"Remuneração do proponente"),"🟡 Pessoa vinculada: este valor SOMA no limite de remuneração do proponente. ","")&amp;IF(P19="","",IF(P19&gt;L_FORNECEDOR,"🔴 Fornecedor acima do limite sobre o valor captado (confira exceções). ",IF(P19&gt;=L_FORNECEDOR*MARGEM,"🟡 Fornecedor perto do limite. ","")))&amp;IF(AND(LEFT(K19,5)="Cachê",F19&lt;&gt;""),IF(F19&gt;IFERROR(VLOOKUP(K19,TAB_CATEGORIAS,2,FALSE),9E+99),"🔴 Cachê acima do limite: só com outras fontes ou apreciação da CNIC. ",""),"")&amp;IF(AND(LEFT(H19,6)="Outras",K19&lt;&gt;""),"🟡 Outras fontes: confirme que o recurso existe e está comprometido. ",""))))</f>
        <v/>
      </c>
    </row>
    <row r="20">
      <c r="A20" s="20" t="n"/>
      <c r="B20" s="20" t="n"/>
      <c r="C20" s="20" t="n"/>
      <c r="D20" s="20" t="n"/>
      <c r="E20" s="20" t="n"/>
      <c r="F20" s="17" t="n"/>
      <c r="G20" s="26">
        <f>IF(OR(E20="",F20=""),"",E20*F20)</f>
        <v/>
      </c>
      <c r="H20" s="20" t="n"/>
      <c r="I20" s="20" t="n"/>
      <c r="J20" s="20" t="n"/>
      <c r="K20" s="20" t="n"/>
      <c r="L20" s="20" t="n"/>
      <c r="M20" s="20" t="n"/>
      <c r="N20" s="20" t="n"/>
      <c r="O20" s="20" t="n"/>
      <c r="P20" s="27">
        <f>IF(OR(I20="",G20="",LEFT(H20,9)&lt;&gt;"Incentivo",VALOR_CAPTADO=0),"",SUMIFS($G$8:$G$207,$I$8:$I$207,I20,$H$8:$H$207,"Incentivo*")/VALOR_CAPTADO)</f>
        <v/>
      </c>
      <c r="Q20" s="21">
        <f>IF(AND(B20="",G20=""),"",IF(IF(AND(B20="",G20=""),"",IF(OR(E20="",F20=""),"🟡 Falta quantidade ou valor. ","")&amp;IF(H20="","🟡 Informe a fonte. ","")&amp;IF(K20="","🟡 Classifique a categoria de limite. ","")&amp;IF(TRIM(M20)="","🔴 Sem justificativa de vínculo: se não explica, não coloque. ","")&amp;IF(N20&lt;&gt;"Sim","🟡 Preço de mercado não conferido. ","")&amp;IF(O20="Sim","🔴 Possível DUPLA COBERTURA: a mesma despesa não pode ser paga duas vezes. ","")&amp;IF(AND(L20="Sim",K20&lt;&gt;"Remuneração do proponente"),"🟡 Pessoa vinculada: este valor SOMA no limite de remuneração do proponente. ","")&amp;IF(P20="","",IF(P20&gt;L_FORNECEDOR,"🔴 Fornecedor acima do limite sobre o valor captado (confira exceções). ",IF(P20&gt;=L_FORNECEDOR*MARGEM,"🟡 Fornecedor perto do limite. ","")))&amp;IF(AND(LEFT(K20,5)="Cachê",F20&lt;&gt;""),IF(F20&gt;IFERROR(VLOOKUP(K20,TAB_CATEGORIAS,2,FALSE),9E+99),"🔴 Cachê acima do limite: só com outras fontes ou apreciação da CNIC. ",""),"")&amp;IF(AND(LEFT(H20,6)="Outras",K20&lt;&gt;""),"🟡 Outras fontes: confirme que o recurso existe e está comprometido. ",""))="","🟢 CONFERIDO",IF(AND(B20="",G20=""),"",IF(OR(E20="",F20=""),"🟡 Falta quantidade ou valor. ","")&amp;IF(H20="","🟡 Informe a fonte. ","")&amp;IF(K20="","🟡 Classifique a categoria de limite. ","")&amp;IF(TRIM(M20)="","🔴 Sem justificativa de vínculo: se não explica, não coloque. ","")&amp;IF(N20&lt;&gt;"Sim","🟡 Preço de mercado não conferido. ","")&amp;IF(O20="Sim","🔴 Possível DUPLA COBERTURA: a mesma despesa não pode ser paga duas vezes. ","")&amp;IF(AND(L20="Sim",K20&lt;&gt;"Remuneração do proponente"),"🟡 Pessoa vinculada: este valor SOMA no limite de remuneração do proponente. ","")&amp;IF(P20="","",IF(P20&gt;L_FORNECEDOR,"🔴 Fornecedor acima do limite sobre o valor captado (confira exceções). ",IF(P20&gt;=L_FORNECEDOR*MARGEM,"🟡 Fornecedor perto do limite. ","")))&amp;IF(AND(LEFT(K20,5)="Cachê",F20&lt;&gt;""),IF(F20&gt;IFERROR(VLOOKUP(K20,TAB_CATEGORIAS,2,FALSE),9E+99),"🔴 Cachê acima do limite: só com outras fontes ou apreciação da CNIC. ",""),"")&amp;IF(AND(LEFT(H20,6)="Outras",K20&lt;&gt;""),"🟡 Outras fontes: confirme que o recurso existe e está comprometido. ",""))))</f>
        <v/>
      </c>
    </row>
    <row r="21">
      <c r="A21" s="20" t="n"/>
      <c r="B21" s="20" t="n"/>
      <c r="C21" s="20" t="n"/>
      <c r="D21" s="20" t="n"/>
      <c r="E21" s="20" t="n"/>
      <c r="F21" s="17" t="n"/>
      <c r="G21" s="26">
        <f>IF(OR(E21="",F21=""),"",E21*F21)</f>
        <v/>
      </c>
      <c r="H21" s="20" t="n"/>
      <c r="I21" s="20" t="n"/>
      <c r="J21" s="20" t="n"/>
      <c r="K21" s="20" t="n"/>
      <c r="L21" s="20" t="n"/>
      <c r="M21" s="20" t="n"/>
      <c r="N21" s="20" t="n"/>
      <c r="O21" s="20" t="n"/>
      <c r="P21" s="27">
        <f>IF(OR(I21="",G21="",LEFT(H21,9)&lt;&gt;"Incentivo",VALOR_CAPTADO=0),"",SUMIFS($G$8:$G$207,$I$8:$I$207,I21,$H$8:$H$207,"Incentivo*")/VALOR_CAPTADO)</f>
        <v/>
      </c>
      <c r="Q21" s="21">
        <f>IF(AND(B21="",G21=""),"",IF(IF(AND(B21="",G21=""),"",IF(OR(E21="",F21=""),"🟡 Falta quantidade ou valor. ","")&amp;IF(H21="","🟡 Informe a fonte. ","")&amp;IF(K21="","🟡 Classifique a categoria de limite. ","")&amp;IF(TRIM(M21)="","🔴 Sem justificativa de vínculo: se não explica, não coloque. ","")&amp;IF(N21&lt;&gt;"Sim","🟡 Preço de mercado não conferido. ","")&amp;IF(O21="Sim","🔴 Possível DUPLA COBERTURA: a mesma despesa não pode ser paga duas vezes. ","")&amp;IF(AND(L21="Sim",K21&lt;&gt;"Remuneração do proponente"),"🟡 Pessoa vinculada: este valor SOMA no limite de remuneração do proponente. ","")&amp;IF(P21="","",IF(P21&gt;L_FORNECEDOR,"🔴 Fornecedor acima do limite sobre o valor captado (confira exceções). ",IF(P21&gt;=L_FORNECEDOR*MARGEM,"🟡 Fornecedor perto do limite. ","")))&amp;IF(AND(LEFT(K21,5)="Cachê",F21&lt;&gt;""),IF(F21&gt;IFERROR(VLOOKUP(K21,TAB_CATEGORIAS,2,FALSE),9E+99),"🔴 Cachê acima do limite: só com outras fontes ou apreciação da CNIC. ",""),"")&amp;IF(AND(LEFT(H21,6)="Outras",K21&lt;&gt;""),"🟡 Outras fontes: confirme que o recurso existe e está comprometido. ",""))="","🟢 CONFERIDO",IF(AND(B21="",G21=""),"",IF(OR(E21="",F21=""),"🟡 Falta quantidade ou valor. ","")&amp;IF(H21="","🟡 Informe a fonte. ","")&amp;IF(K21="","🟡 Classifique a categoria de limite. ","")&amp;IF(TRIM(M21)="","🔴 Sem justificativa de vínculo: se não explica, não coloque. ","")&amp;IF(N21&lt;&gt;"Sim","🟡 Preço de mercado não conferido. ","")&amp;IF(O21="Sim","🔴 Possível DUPLA COBERTURA: a mesma despesa não pode ser paga duas vezes. ","")&amp;IF(AND(L21="Sim",K21&lt;&gt;"Remuneração do proponente"),"🟡 Pessoa vinculada: este valor SOMA no limite de remuneração do proponente. ","")&amp;IF(P21="","",IF(P21&gt;L_FORNECEDOR,"🔴 Fornecedor acima do limite sobre o valor captado (confira exceções). ",IF(P21&gt;=L_FORNECEDOR*MARGEM,"🟡 Fornecedor perto do limite. ","")))&amp;IF(AND(LEFT(K21,5)="Cachê",F21&lt;&gt;""),IF(F21&gt;IFERROR(VLOOKUP(K21,TAB_CATEGORIAS,2,FALSE),9E+99),"🔴 Cachê acima do limite: só com outras fontes ou apreciação da CNIC. ",""),"")&amp;IF(AND(LEFT(H21,6)="Outras",K21&lt;&gt;""),"🟡 Outras fontes: confirme que o recurso existe e está comprometido. ",""))))</f>
        <v/>
      </c>
    </row>
    <row r="22">
      <c r="A22" s="20" t="n"/>
      <c r="B22" s="20" t="n"/>
      <c r="C22" s="20" t="n"/>
      <c r="D22" s="20" t="n"/>
      <c r="E22" s="20" t="n"/>
      <c r="F22" s="17" t="n"/>
      <c r="G22" s="26">
        <f>IF(OR(E22="",F22=""),"",E22*F22)</f>
        <v/>
      </c>
      <c r="H22" s="20" t="n"/>
      <c r="I22" s="20" t="n"/>
      <c r="J22" s="20" t="n"/>
      <c r="K22" s="20" t="n"/>
      <c r="L22" s="20" t="n"/>
      <c r="M22" s="20" t="n"/>
      <c r="N22" s="20" t="n"/>
      <c r="O22" s="20" t="n"/>
      <c r="P22" s="27">
        <f>IF(OR(I22="",G22="",LEFT(H22,9)&lt;&gt;"Incentivo",VALOR_CAPTADO=0),"",SUMIFS($G$8:$G$207,$I$8:$I$207,I22,$H$8:$H$207,"Incentivo*")/VALOR_CAPTADO)</f>
        <v/>
      </c>
      <c r="Q22" s="21">
        <f>IF(AND(B22="",G22=""),"",IF(IF(AND(B22="",G22=""),"",IF(OR(E22="",F22=""),"🟡 Falta quantidade ou valor. ","")&amp;IF(H22="","🟡 Informe a fonte. ","")&amp;IF(K22="","🟡 Classifique a categoria de limite. ","")&amp;IF(TRIM(M22)="","🔴 Sem justificativa de vínculo: se não explica, não coloque. ","")&amp;IF(N22&lt;&gt;"Sim","🟡 Preço de mercado não conferido. ","")&amp;IF(O22="Sim","🔴 Possível DUPLA COBERTURA: a mesma despesa não pode ser paga duas vezes. ","")&amp;IF(AND(L22="Sim",K22&lt;&gt;"Remuneração do proponente"),"🟡 Pessoa vinculada: este valor SOMA no limite de remuneração do proponente. ","")&amp;IF(P22="","",IF(P22&gt;L_FORNECEDOR,"🔴 Fornecedor acima do limite sobre o valor captado (confira exceções). ",IF(P22&gt;=L_FORNECEDOR*MARGEM,"🟡 Fornecedor perto do limite. ","")))&amp;IF(AND(LEFT(K22,5)="Cachê",F22&lt;&gt;""),IF(F22&gt;IFERROR(VLOOKUP(K22,TAB_CATEGORIAS,2,FALSE),9E+99),"🔴 Cachê acima do limite: só com outras fontes ou apreciação da CNIC. ",""),"")&amp;IF(AND(LEFT(H22,6)="Outras",K22&lt;&gt;""),"🟡 Outras fontes: confirme que o recurso existe e está comprometido. ",""))="","🟢 CONFERIDO",IF(AND(B22="",G22=""),"",IF(OR(E22="",F22=""),"🟡 Falta quantidade ou valor. ","")&amp;IF(H22="","🟡 Informe a fonte. ","")&amp;IF(K22="","🟡 Classifique a categoria de limite. ","")&amp;IF(TRIM(M22)="","🔴 Sem justificativa de vínculo: se não explica, não coloque. ","")&amp;IF(N22&lt;&gt;"Sim","🟡 Preço de mercado não conferido. ","")&amp;IF(O22="Sim","🔴 Possível DUPLA COBERTURA: a mesma despesa não pode ser paga duas vezes. ","")&amp;IF(AND(L22="Sim",K22&lt;&gt;"Remuneração do proponente"),"🟡 Pessoa vinculada: este valor SOMA no limite de remuneração do proponente. ","")&amp;IF(P22="","",IF(P22&gt;L_FORNECEDOR,"🔴 Fornecedor acima do limite sobre o valor captado (confira exceções). ",IF(P22&gt;=L_FORNECEDOR*MARGEM,"🟡 Fornecedor perto do limite. ","")))&amp;IF(AND(LEFT(K22,5)="Cachê",F22&lt;&gt;""),IF(F22&gt;IFERROR(VLOOKUP(K22,TAB_CATEGORIAS,2,FALSE),9E+99),"🔴 Cachê acima do limite: só com outras fontes ou apreciação da CNIC. ",""),"")&amp;IF(AND(LEFT(H22,6)="Outras",K22&lt;&gt;""),"🟡 Outras fontes: confirme que o recurso existe e está comprometido. ",""))))</f>
        <v/>
      </c>
    </row>
    <row r="23">
      <c r="A23" s="20" t="n"/>
      <c r="B23" s="20" t="n"/>
      <c r="C23" s="20" t="n"/>
      <c r="D23" s="20" t="n"/>
      <c r="E23" s="20" t="n"/>
      <c r="F23" s="17" t="n"/>
      <c r="G23" s="26">
        <f>IF(OR(E23="",F23=""),"",E23*F23)</f>
        <v/>
      </c>
      <c r="H23" s="20" t="n"/>
      <c r="I23" s="20" t="n"/>
      <c r="J23" s="20" t="n"/>
      <c r="K23" s="20" t="n"/>
      <c r="L23" s="20" t="n"/>
      <c r="M23" s="20" t="n"/>
      <c r="N23" s="20" t="n"/>
      <c r="O23" s="20" t="n"/>
      <c r="P23" s="27">
        <f>IF(OR(I23="",G23="",LEFT(H23,9)&lt;&gt;"Incentivo",VALOR_CAPTADO=0),"",SUMIFS($G$8:$G$207,$I$8:$I$207,I23,$H$8:$H$207,"Incentivo*")/VALOR_CAPTADO)</f>
        <v/>
      </c>
      <c r="Q23" s="21">
        <f>IF(AND(B23="",G23=""),"",IF(IF(AND(B23="",G23=""),"",IF(OR(E23="",F23=""),"🟡 Falta quantidade ou valor. ","")&amp;IF(H23="","🟡 Informe a fonte. ","")&amp;IF(K23="","🟡 Classifique a categoria de limite. ","")&amp;IF(TRIM(M23)="","🔴 Sem justificativa de vínculo: se não explica, não coloque. ","")&amp;IF(N23&lt;&gt;"Sim","🟡 Preço de mercado não conferido. ","")&amp;IF(O23="Sim","🔴 Possível DUPLA COBERTURA: a mesma despesa não pode ser paga duas vezes. ","")&amp;IF(AND(L23="Sim",K23&lt;&gt;"Remuneração do proponente"),"🟡 Pessoa vinculada: este valor SOMA no limite de remuneração do proponente. ","")&amp;IF(P23="","",IF(P23&gt;L_FORNECEDOR,"🔴 Fornecedor acima do limite sobre o valor captado (confira exceções). ",IF(P23&gt;=L_FORNECEDOR*MARGEM,"🟡 Fornecedor perto do limite. ","")))&amp;IF(AND(LEFT(K23,5)="Cachê",F23&lt;&gt;""),IF(F23&gt;IFERROR(VLOOKUP(K23,TAB_CATEGORIAS,2,FALSE),9E+99),"🔴 Cachê acima do limite: só com outras fontes ou apreciação da CNIC. ",""),"")&amp;IF(AND(LEFT(H23,6)="Outras",K23&lt;&gt;""),"🟡 Outras fontes: confirme que o recurso existe e está comprometido. ",""))="","🟢 CONFERIDO",IF(AND(B23="",G23=""),"",IF(OR(E23="",F23=""),"🟡 Falta quantidade ou valor. ","")&amp;IF(H23="","🟡 Informe a fonte. ","")&amp;IF(K23="","🟡 Classifique a categoria de limite. ","")&amp;IF(TRIM(M23)="","🔴 Sem justificativa de vínculo: se não explica, não coloque. ","")&amp;IF(N23&lt;&gt;"Sim","🟡 Preço de mercado não conferido. ","")&amp;IF(O23="Sim","🔴 Possível DUPLA COBERTURA: a mesma despesa não pode ser paga duas vezes. ","")&amp;IF(AND(L23="Sim",K23&lt;&gt;"Remuneração do proponente"),"🟡 Pessoa vinculada: este valor SOMA no limite de remuneração do proponente. ","")&amp;IF(P23="","",IF(P23&gt;L_FORNECEDOR,"🔴 Fornecedor acima do limite sobre o valor captado (confira exceções). ",IF(P23&gt;=L_FORNECEDOR*MARGEM,"🟡 Fornecedor perto do limite. ","")))&amp;IF(AND(LEFT(K23,5)="Cachê",F23&lt;&gt;""),IF(F23&gt;IFERROR(VLOOKUP(K23,TAB_CATEGORIAS,2,FALSE),9E+99),"🔴 Cachê acima do limite: só com outras fontes ou apreciação da CNIC. ",""),"")&amp;IF(AND(LEFT(H23,6)="Outras",K23&lt;&gt;""),"🟡 Outras fontes: confirme que o recurso existe e está comprometido. ",""))))</f>
        <v/>
      </c>
    </row>
    <row r="24">
      <c r="A24" s="20" t="n"/>
      <c r="B24" s="20" t="n"/>
      <c r="C24" s="20" t="n"/>
      <c r="D24" s="20" t="n"/>
      <c r="E24" s="20" t="n"/>
      <c r="F24" s="17" t="n"/>
      <c r="G24" s="26">
        <f>IF(OR(E24="",F24=""),"",E24*F24)</f>
        <v/>
      </c>
      <c r="H24" s="20" t="n"/>
      <c r="I24" s="20" t="n"/>
      <c r="J24" s="20" t="n"/>
      <c r="K24" s="20" t="n"/>
      <c r="L24" s="20" t="n"/>
      <c r="M24" s="20" t="n"/>
      <c r="N24" s="20" t="n"/>
      <c r="O24" s="20" t="n"/>
      <c r="P24" s="27">
        <f>IF(OR(I24="",G24="",LEFT(H24,9)&lt;&gt;"Incentivo",VALOR_CAPTADO=0),"",SUMIFS($G$8:$G$207,$I$8:$I$207,I24,$H$8:$H$207,"Incentivo*")/VALOR_CAPTADO)</f>
        <v/>
      </c>
      <c r="Q24" s="21">
        <f>IF(AND(B24="",G24=""),"",IF(IF(AND(B24="",G24=""),"",IF(OR(E24="",F24=""),"🟡 Falta quantidade ou valor. ","")&amp;IF(H24="","🟡 Informe a fonte. ","")&amp;IF(K24="","🟡 Classifique a categoria de limite. ","")&amp;IF(TRIM(M24)="","🔴 Sem justificativa de vínculo: se não explica, não coloque. ","")&amp;IF(N24&lt;&gt;"Sim","🟡 Preço de mercado não conferido. ","")&amp;IF(O24="Sim","🔴 Possível DUPLA COBERTURA: a mesma despesa não pode ser paga duas vezes. ","")&amp;IF(AND(L24="Sim",K24&lt;&gt;"Remuneração do proponente"),"🟡 Pessoa vinculada: este valor SOMA no limite de remuneração do proponente. ","")&amp;IF(P24="","",IF(P24&gt;L_FORNECEDOR,"🔴 Fornecedor acima do limite sobre o valor captado (confira exceções). ",IF(P24&gt;=L_FORNECEDOR*MARGEM,"🟡 Fornecedor perto do limite. ","")))&amp;IF(AND(LEFT(K24,5)="Cachê",F24&lt;&gt;""),IF(F24&gt;IFERROR(VLOOKUP(K24,TAB_CATEGORIAS,2,FALSE),9E+99),"🔴 Cachê acima do limite: só com outras fontes ou apreciação da CNIC. ",""),"")&amp;IF(AND(LEFT(H24,6)="Outras",K24&lt;&gt;""),"🟡 Outras fontes: confirme que o recurso existe e está comprometido. ",""))="","🟢 CONFERIDO",IF(AND(B24="",G24=""),"",IF(OR(E24="",F24=""),"🟡 Falta quantidade ou valor. ","")&amp;IF(H24="","🟡 Informe a fonte. ","")&amp;IF(K24="","🟡 Classifique a categoria de limite. ","")&amp;IF(TRIM(M24)="","🔴 Sem justificativa de vínculo: se não explica, não coloque. ","")&amp;IF(N24&lt;&gt;"Sim","🟡 Preço de mercado não conferido. ","")&amp;IF(O24="Sim","🔴 Possível DUPLA COBERTURA: a mesma despesa não pode ser paga duas vezes. ","")&amp;IF(AND(L24="Sim",K24&lt;&gt;"Remuneração do proponente"),"🟡 Pessoa vinculada: este valor SOMA no limite de remuneração do proponente. ","")&amp;IF(P24="","",IF(P24&gt;L_FORNECEDOR,"🔴 Fornecedor acima do limite sobre o valor captado (confira exceções). ",IF(P24&gt;=L_FORNECEDOR*MARGEM,"🟡 Fornecedor perto do limite. ","")))&amp;IF(AND(LEFT(K24,5)="Cachê",F24&lt;&gt;""),IF(F24&gt;IFERROR(VLOOKUP(K24,TAB_CATEGORIAS,2,FALSE),9E+99),"🔴 Cachê acima do limite: só com outras fontes ou apreciação da CNIC. ",""),"")&amp;IF(AND(LEFT(H24,6)="Outras",K24&lt;&gt;""),"🟡 Outras fontes: confirme que o recurso existe e está comprometido. ",""))))</f>
        <v/>
      </c>
    </row>
    <row r="25">
      <c r="A25" s="20" t="n"/>
      <c r="B25" s="20" t="n"/>
      <c r="C25" s="20" t="n"/>
      <c r="D25" s="20" t="n"/>
      <c r="E25" s="20" t="n"/>
      <c r="F25" s="17" t="n"/>
      <c r="G25" s="26">
        <f>IF(OR(E25="",F25=""),"",E25*F25)</f>
        <v/>
      </c>
      <c r="H25" s="20" t="n"/>
      <c r="I25" s="20" t="n"/>
      <c r="J25" s="20" t="n"/>
      <c r="K25" s="20" t="n"/>
      <c r="L25" s="20" t="n"/>
      <c r="M25" s="20" t="n"/>
      <c r="N25" s="20" t="n"/>
      <c r="O25" s="20" t="n"/>
      <c r="P25" s="27">
        <f>IF(OR(I25="",G25="",LEFT(H25,9)&lt;&gt;"Incentivo",VALOR_CAPTADO=0),"",SUMIFS($G$8:$G$207,$I$8:$I$207,I25,$H$8:$H$207,"Incentivo*")/VALOR_CAPTADO)</f>
        <v/>
      </c>
      <c r="Q25" s="21">
        <f>IF(AND(B25="",G25=""),"",IF(IF(AND(B25="",G25=""),"",IF(OR(E25="",F25=""),"🟡 Falta quantidade ou valor. ","")&amp;IF(H25="","🟡 Informe a fonte. ","")&amp;IF(K25="","🟡 Classifique a categoria de limite. ","")&amp;IF(TRIM(M25)="","🔴 Sem justificativa de vínculo: se não explica, não coloque. ","")&amp;IF(N25&lt;&gt;"Sim","🟡 Preço de mercado não conferido. ","")&amp;IF(O25="Sim","🔴 Possível DUPLA COBERTURA: a mesma despesa não pode ser paga duas vezes. ","")&amp;IF(AND(L25="Sim",K25&lt;&gt;"Remuneração do proponente"),"🟡 Pessoa vinculada: este valor SOMA no limite de remuneração do proponente. ","")&amp;IF(P25="","",IF(P25&gt;L_FORNECEDOR,"🔴 Fornecedor acima do limite sobre o valor captado (confira exceções). ",IF(P25&gt;=L_FORNECEDOR*MARGEM,"🟡 Fornecedor perto do limite. ","")))&amp;IF(AND(LEFT(K25,5)="Cachê",F25&lt;&gt;""),IF(F25&gt;IFERROR(VLOOKUP(K25,TAB_CATEGORIAS,2,FALSE),9E+99),"🔴 Cachê acima do limite: só com outras fontes ou apreciação da CNIC. ",""),"")&amp;IF(AND(LEFT(H25,6)="Outras",K25&lt;&gt;""),"🟡 Outras fontes: confirme que o recurso existe e está comprometido. ",""))="","🟢 CONFERIDO",IF(AND(B25="",G25=""),"",IF(OR(E25="",F25=""),"🟡 Falta quantidade ou valor. ","")&amp;IF(H25="","🟡 Informe a fonte. ","")&amp;IF(K25="","🟡 Classifique a categoria de limite. ","")&amp;IF(TRIM(M25)="","🔴 Sem justificativa de vínculo: se não explica, não coloque. ","")&amp;IF(N25&lt;&gt;"Sim","🟡 Preço de mercado não conferido. ","")&amp;IF(O25="Sim","🔴 Possível DUPLA COBERTURA: a mesma despesa não pode ser paga duas vezes. ","")&amp;IF(AND(L25="Sim",K25&lt;&gt;"Remuneração do proponente"),"🟡 Pessoa vinculada: este valor SOMA no limite de remuneração do proponente. ","")&amp;IF(P25="","",IF(P25&gt;L_FORNECEDOR,"🔴 Fornecedor acima do limite sobre o valor captado (confira exceções). ",IF(P25&gt;=L_FORNECEDOR*MARGEM,"🟡 Fornecedor perto do limite. ","")))&amp;IF(AND(LEFT(K25,5)="Cachê",F25&lt;&gt;""),IF(F25&gt;IFERROR(VLOOKUP(K25,TAB_CATEGORIAS,2,FALSE),9E+99),"🔴 Cachê acima do limite: só com outras fontes ou apreciação da CNIC. ",""),"")&amp;IF(AND(LEFT(H25,6)="Outras",K25&lt;&gt;""),"🟡 Outras fontes: confirme que o recurso existe e está comprometido. ",""))))</f>
        <v/>
      </c>
    </row>
    <row r="26">
      <c r="A26" s="20" t="n"/>
      <c r="B26" s="20" t="n"/>
      <c r="C26" s="20" t="n"/>
      <c r="D26" s="20" t="n"/>
      <c r="E26" s="20" t="n"/>
      <c r="F26" s="17" t="n"/>
      <c r="G26" s="26">
        <f>IF(OR(E26="",F26=""),"",E26*F26)</f>
        <v/>
      </c>
      <c r="H26" s="20" t="n"/>
      <c r="I26" s="20" t="n"/>
      <c r="J26" s="20" t="n"/>
      <c r="K26" s="20" t="n"/>
      <c r="L26" s="20" t="n"/>
      <c r="M26" s="20" t="n"/>
      <c r="N26" s="20" t="n"/>
      <c r="O26" s="20" t="n"/>
      <c r="P26" s="27">
        <f>IF(OR(I26="",G26="",LEFT(H26,9)&lt;&gt;"Incentivo",VALOR_CAPTADO=0),"",SUMIFS($G$8:$G$207,$I$8:$I$207,I26,$H$8:$H$207,"Incentivo*")/VALOR_CAPTADO)</f>
        <v/>
      </c>
      <c r="Q26" s="21">
        <f>IF(AND(B26="",G26=""),"",IF(IF(AND(B26="",G26=""),"",IF(OR(E26="",F26=""),"🟡 Falta quantidade ou valor. ","")&amp;IF(H26="","🟡 Informe a fonte. ","")&amp;IF(K26="","🟡 Classifique a categoria de limite. ","")&amp;IF(TRIM(M26)="","🔴 Sem justificativa de vínculo: se não explica, não coloque. ","")&amp;IF(N26&lt;&gt;"Sim","🟡 Preço de mercado não conferido. ","")&amp;IF(O26="Sim","🔴 Possível DUPLA COBERTURA: a mesma despesa não pode ser paga duas vezes. ","")&amp;IF(AND(L26="Sim",K26&lt;&gt;"Remuneração do proponente"),"🟡 Pessoa vinculada: este valor SOMA no limite de remuneração do proponente. ","")&amp;IF(P26="","",IF(P26&gt;L_FORNECEDOR,"🔴 Fornecedor acima do limite sobre o valor captado (confira exceções). ",IF(P26&gt;=L_FORNECEDOR*MARGEM,"🟡 Fornecedor perto do limite. ","")))&amp;IF(AND(LEFT(K26,5)="Cachê",F26&lt;&gt;""),IF(F26&gt;IFERROR(VLOOKUP(K26,TAB_CATEGORIAS,2,FALSE),9E+99),"🔴 Cachê acima do limite: só com outras fontes ou apreciação da CNIC. ",""),"")&amp;IF(AND(LEFT(H26,6)="Outras",K26&lt;&gt;""),"🟡 Outras fontes: confirme que o recurso existe e está comprometido. ",""))="","🟢 CONFERIDO",IF(AND(B26="",G26=""),"",IF(OR(E26="",F26=""),"🟡 Falta quantidade ou valor. ","")&amp;IF(H26="","🟡 Informe a fonte. ","")&amp;IF(K26="","🟡 Classifique a categoria de limite. ","")&amp;IF(TRIM(M26)="","🔴 Sem justificativa de vínculo: se não explica, não coloque. ","")&amp;IF(N26&lt;&gt;"Sim","🟡 Preço de mercado não conferido. ","")&amp;IF(O26="Sim","🔴 Possível DUPLA COBERTURA: a mesma despesa não pode ser paga duas vezes. ","")&amp;IF(AND(L26="Sim",K26&lt;&gt;"Remuneração do proponente"),"🟡 Pessoa vinculada: este valor SOMA no limite de remuneração do proponente. ","")&amp;IF(P26="","",IF(P26&gt;L_FORNECEDOR,"🔴 Fornecedor acima do limite sobre o valor captado (confira exceções). ",IF(P26&gt;=L_FORNECEDOR*MARGEM,"🟡 Fornecedor perto do limite. ","")))&amp;IF(AND(LEFT(K26,5)="Cachê",F26&lt;&gt;""),IF(F26&gt;IFERROR(VLOOKUP(K26,TAB_CATEGORIAS,2,FALSE),9E+99),"🔴 Cachê acima do limite: só com outras fontes ou apreciação da CNIC. ",""),"")&amp;IF(AND(LEFT(H26,6)="Outras",K26&lt;&gt;""),"🟡 Outras fontes: confirme que o recurso existe e está comprometido. ",""))))</f>
        <v/>
      </c>
    </row>
    <row r="27">
      <c r="A27" s="20" t="n"/>
      <c r="B27" s="20" t="n"/>
      <c r="C27" s="20" t="n"/>
      <c r="D27" s="20" t="n"/>
      <c r="E27" s="20" t="n"/>
      <c r="F27" s="17" t="n"/>
      <c r="G27" s="26">
        <f>IF(OR(E27="",F27=""),"",E27*F27)</f>
        <v/>
      </c>
      <c r="H27" s="20" t="n"/>
      <c r="I27" s="20" t="n"/>
      <c r="J27" s="20" t="n"/>
      <c r="K27" s="20" t="n"/>
      <c r="L27" s="20" t="n"/>
      <c r="M27" s="20" t="n"/>
      <c r="N27" s="20" t="n"/>
      <c r="O27" s="20" t="n"/>
      <c r="P27" s="27">
        <f>IF(OR(I27="",G27="",LEFT(H27,9)&lt;&gt;"Incentivo",VALOR_CAPTADO=0),"",SUMIFS($G$8:$G$207,$I$8:$I$207,I27,$H$8:$H$207,"Incentivo*")/VALOR_CAPTADO)</f>
        <v/>
      </c>
      <c r="Q27" s="21">
        <f>IF(AND(B27="",G27=""),"",IF(IF(AND(B27="",G27=""),"",IF(OR(E27="",F27=""),"🟡 Falta quantidade ou valor. ","")&amp;IF(H27="","🟡 Informe a fonte. ","")&amp;IF(K27="","🟡 Classifique a categoria de limite. ","")&amp;IF(TRIM(M27)="","🔴 Sem justificativa de vínculo: se não explica, não coloque. ","")&amp;IF(N27&lt;&gt;"Sim","🟡 Preço de mercado não conferido. ","")&amp;IF(O27="Sim","🔴 Possível DUPLA COBERTURA: a mesma despesa não pode ser paga duas vezes. ","")&amp;IF(AND(L27="Sim",K27&lt;&gt;"Remuneração do proponente"),"🟡 Pessoa vinculada: este valor SOMA no limite de remuneração do proponente. ","")&amp;IF(P27="","",IF(P27&gt;L_FORNECEDOR,"🔴 Fornecedor acima do limite sobre o valor captado (confira exceções). ",IF(P27&gt;=L_FORNECEDOR*MARGEM,"🟡 Fornecedor perto do limite. ","")))&amp;IF(AND(LEFT(K27,5)="Cachê",F27&lt;&gt;""),IF(F27&gt;IFERROR(VLOOKUP(K27,TAB_CATEGORIAS,2,FALSE),9E+99),"🔴 Cachê acima do limite: só com outras fontes ou apreciação da CNIC. ",""),"")&amp;IF(AND(LEFT(H27,6)="Outras",K27&lt;&gt;""),"🟡 Outras fontes: confirme que o recurso existe e está comprometido. ",""))="","🟢 CONFERIDO",IF(AND(B27="",G27=""),"",IF(OR(E27="",F27=""),"🟡 Falta quantidade ou valor. ","")&amp;IF(H27="","🟡 Informe a fonte. ","")&amp;IF(K27="","🟡 Classifique a categoria de limite. ","")&amp;IF(TRIM(M27)="","🔴 Sem justificativa de vínculo: se não explica, não coloque. ","")&amp;IF(N27&lt;&gt;"Sim","🟡 Preço de mercado não conferido. ","")&amp;IF(O27="Sim","🔴 Possível DUPLA COBERTURA: a mesma despesa não pode ser paga duas vezes. ","")&amp;IF(AND(L27="Sim",K27&lt;&gt;"Remuneração do proponente"),"🟡 Pessoa vinculada: este valor SOMA no limite de remuneração do proponente. ","")&amp;IF(P27="","",IF(P27&gt;L_FORNECEDOR,"🔴 Fornecedor acima do limite sobre o valor captado (confira exceções). ",IF(P27&gt;=L_FORNECEDOR*MARGEM,"🟡 Fornecedor perto do limite. ","")))&amp;IF(AND(LEFT(K27,5)="Cachê",F27&lt;&gt;""),IF(F27&gt;IFERROR(VLOOKUP(K27,TAB_CATEGORIAS,2,FALSE),9E+99),"🔴 Cachê acima do limite: só com outras fontes ou apreciação da CNIC. ",""),"")&amp;IF(AND(LEFT(H27,6)="Outras",K27&lt;&gt;""),"🟡 Outras fontes: confirme que o recurso existe e está comprometido. ",""))))</f>
        <v/>
      </c>
    </row>
    <row r="28">
      <c r="A28" s="20" t="n"/>
      <c r="B28" s="20" t="n"/>
      <c r="C28" s="20" t="n"/>
      <c r="D28" s="20" t="n"/>
      <c r="E28" s="20" t="n"/>
      <c r="F28" s="17" t="n"/>
      <c r="G28" s="26">
        <f>IF(OR(E28="",F28=""),"",E28*F28)</f>
        <v/>
      </c>
      <c r="H28" s="20" t="n"/>
      <c r="I28" s="20" t="n"/>
      <c r="J28" s="20" t="n"/>
      <c r="K28" s="20" t="n"/>
      <c r="L28" s="20" t="n"/>
      <c r="M28" s="20" t="n"/>
      <c r="N28" s="20" t="n"/>
      <c r="O28" s="20" t="n"/>
      <c r="P28" s="27">
        <f>IF(OR(I28="",G28="",LEFT(H28,9)&lt;&gt;"Incentivo",VALOR_CAPTADO=0),"",SUMIFS($G$8:$G$207,$I$8:$I$207,I28,$H$8:$H$207,"Incentivo*")/VALOR_CAPTADO)</f>
        <v/>
      </c>
      <c r="Q28" s="21">
        <f>IF(AND(B28="",G28=""),"",IF(IF(AND(B28="",G28=""),"",IF(OR(E28="",F28=""),"🟡 Falta quantidade ou valor. ","")&amp;IF(H28="","🟡 Informe a fonte. ","")&amp;IF(K28="","🟡 Classifique a categoria de limite. ","")&amp;IF(TRIM(M28)="","🔴 Sem justificativa de vínculo: se não explica, não coloque. ","")&amp;IF(N28&lt;&gt;"Sim","🟡 Preço de mercado não conferido. ","")&amp;IF(O28="Sim","🔴 Possível DUPLA COBERTURA: a mesma despesa não pode ser paga duas vezes. ","")&amp;IF(AND(L28="Sim",K28&lt;&gt;"Remuneração do proponente"),"🟡 Pessoa vinculada: este valor SOMA no limite de remuneração do proponente. ","")&amp;IF(P28="","",IF(P28&gt;L_FORNECEDOR,"🔴 Fornecedor acima do limite sobre o valor captado (confira exceções). ",IF(P28&gt;=L_FORNECEDOR*MARGEM,"🟡 Fornecedor perto do limite. ","")))&amp;IF(AND(LEFT(K28,5)="Cachê",F28&lt;&gt;""),IF(F28&gt;IFERROR(VLOOKUP(K28,TAB_CATEGORIAS,2,FALSE),9E+99),"🔴 Cachê acima do limite: só com outras fontes ou apreciação da CNIC. ",""),"")&amp;IF(AND(LEFT(H28,6)="Outras",K28&lt;&gt;""),"🟡 Outras fontes: confirme que o recurso existe e está comprometido. ",""))="","🟢 CONFERIDO",IF(AND(B28="",G28=""),"",IF(OR(E28="",F28=""),"🟡 Falta quantidade ou valor. ","")&amp;IF(H28="","🟡 Informe a fonte. ","")&amp;IF(K28="","🟡 Classifique a categoria de limite. ","")&amp;IF(TRIM(M28)="","🔴 Sem justificativa de vínculo: se não explica, não coloque. ","")&amp;IF(N28&lt;&gt;"Sim","🟡 Preço de mercado não conferido. ","")&amp;IF(O28="Sim","🔴 Possível DUPLA COBERTURA: a mesma despesa não pode ser paga duas vezes. ","")&amp;IF(AND(L28="Sim",K28&lt;&gt;"Remuneração do proponente"),"🟡 Pessoa vinculada: este valor SOMA no limite de remuneração do proponente. ","")&amp;IF(P28="","",IF(P28&gt;L_FORNECEDOR,"🔴 Fornecedor acima do limite sobre o valor captado (confira exceções). ",IF(P28&gt;=L_FORNECEDOR*MARGEM,"🟡 Fornecedor perto do limite. ","")))&amp;IF(AND(LEFT(K28,5)="Cachê",F28&lt;&gt;""),IF(F28&gt;IFERROR(VLOOKUP(K28,TAB_CATEGORIAS,2,FALSE),9E+99),"🔴 Cachê acima do limite: só com outras fontes ou apreciação da CNIC. ",""),"")&amp;IF(AND(LEFT(H28,6)="Outras",K28&lt;&gt;""),"🟡 Outras fontes: confirme que o recurso existe e está comprometido. ",""))))</f>
        <v/>
      </c>
    </row>
    <row r="29">
      <c r="A29" s="20" t="n"/>
      <c r="B29" s="20" t="n"/>
      <c r="C29" s="20" t="n"/>
      <c r="D29" s="20" t="n"/>
      <c r="E29" s="20" t="n"/>
      <c r="F29" s="17" t="n"/>
      <c r="G29" s="26">
        <f>IF(OR(E29="",F29=""),"",E29*F29)</f>
        <v/>
      </c>
      <c r="H29" s="20" t="n"/>
      <c r="I29" s="20" t="n"/>
      <c r="J29" s="20" t="n"/>
      <c r="K29" s="20" t="n"/>
      <c r="L29" s="20" t="n"/>
      <c r="M29" s="20" t="n"/>
      <c r="N29" s="20" t="n"/>
      <c r="O29" s="20" t="n"/>
      <c r="P29" s="27">
        <f>IF(OR(I29="",G29="",LEFT(H29,9)&lt;&gt;"Incentivo",VALOR_CAPTADO=0),"",SUMIFS($G$8:$G$207,$I$8:$I$207,I29,$H$8:$H$207,"Incentivo*")/VALOR_CAPTADO)</f>
        <v/>
      </c>
      <c r="Q29" s="21">
        <f>IF(AND(B29="",G29=""),"",IF(IF(AND(B29="",G29=""),"",IF(OR(E29="",F29=""),"🟡 Falta quantidade ou valor. ","")&amp;IF(H29="","🟡 Informe a fonte. ","")&amp;IF(K29="","🟡 Classifique a categoria de limite. ","")&amp;IF(TRIM(M29)="","🔴 Sem justificativa de vínculo: se não explica, não coloque. ","")&amp;IF(N29&lt;&gt;"Sim","🟡 Preço de mercado não conferido. ","")&amp;IF(O29="Sim","🔴 Possível DUPLA COBERTURA: a mesma despesa não pode ser paga duas vezes. ","")&amp;IF(AND(L29="Sim",K29&lt;&gt;"Remuneração do proponente"),"🟡 Pessoa vinculada: este valor SOMA no limite de remuneração do proponente. ","")&amp;IF(P29="","",IF(P29&gt;L_FORNECEDOR,"🔴 Fornecedor acima do limite sobre o valor captado (confira exceções). ",IF(P29&gt;=L_FORNECEDOR*MARGEM,"🟡 Fornecedor perto do limite. ","")))&amp;IF(AND(LEFT(K29,5)="Cachê",F29&lt;&gt;""),IF(F29&gt;IFERROR(VLOOKUP(K29,TAB_CATEGORIAS,2,FALSE),9E+99),"🔴 Cachê acima do limite: só com outras fontes ou apreciação da CNIC. ",""),"")&amp;IF(AND(LEFT(H29,6)="Outras",K29&lt;&gt;""),"🟡 Outras fontes: confirme que o recurso existe e está comprometido. ",""))="","🟢 CONFERIDO",IF(AND(B29="",G29=""),"",IF(OR(E29="",F29=""),"🟡 Falta quantidade ou valor. ","")&amp;IF(H29="","🟡 Informe a fonte. ","")&amp;IF(K29="","🟡 Classifique a categoria de limite. ","")&amp;IF(TRIM(M29)="","🔴 Sem justificativa de vínculo: se não explica, não coloque. ","")&amp;IF(N29&lt;&gt;"Sim","🟡 Preço de mercado não conferido. ","")&amp;IF(O29="Sim","🔴 Possível DUPLA COBERTURA: a mesma despesa não pode ser paga duas vezes. ","")&amp;IF(AND(L29="Sim",K29&lt;&gt;"Remuneração do proponente"),"🟡 Pessoa vinculada: este valor SOMA no limite de remuneração do proponente. ","")&amp;IF(P29="","",IF(P29&gt;L_FORNECEDOR,"🔴 Fornecedor acima do limite sobre o valor captado (confira exceções). ",IF(P29&gt;=L_FORNECEDOR*MARGEM,"🟡 Fornecedor perto do limite. ","")))&amp;IF(AND(LEFT(K29,5)="Cachê",F29&lt;&gt;""),IF(F29&gt;IFERROR(VLOOKUP(K29,TAB_CATEGORIAS,2,FALSE),9E+99),"🔴 Cachê acima do limite: só com outras fontes ou apreciação da CNIC. ",""),"")&amp;IF(AND(LEFT(H29,6)="Outras",K29&lt;&gt;""),"🟡 Outras fontes: confirme que o recurso existe e está comprometido. ",""))))</f>
        <v/>
      </c>
    </row>
    <row r="30">
      <c r="A30" s="20" t="n"/>
      <c r="B30" s="20" t="n"/>
      <c r="C30" s="20" t="n"/>
      <c r="D30" s="20" t="n"/>
      <c r="E30" s="20" t="n"/>
      <c r="F30" s="17" t="n"/>
      <c r="G30" s="26">
        <f>IF(OR(E30="",F30=""),"",E30*F30)</f>
        <v/>
      </c>
      <c r="H30" s="20" t="n"/>
      <c r="I30" s="20" t="n"/>
      <c r="J30" s="20" t="n"/>
      <c r="K30" s="20" t="n"/>
      <c r="L30" s="20" t="n"/>
      <c r="M30" s="20" t="n"/>
      <c r="N30" s="20" t="n"/>
      <c r="O30" s="20" t="n"/>
      <c r="P30" s="27">
        <f>IF(OR(I30="",G30="",LEFT(H30,9)&lt;&gt;"Incentivo",VALOR_CAPTADO=0),"",SUMIFS($G$8:$G$207,$I$8:$I$207,I30,$H$8:$H$207,"Incentivo*")/VALOR_CAPTADO)</f>
        <v/>
      </c>
      <c r="Q30" s="21">
        <f>IF(AND(B30="",G30=""),"",IF(IF(AND(B30="",G30=""),"",IF(OR(E30="",F30=""),"🟡 Falta quantidade ou valor. ","")&amp;IF(H30="","🟡 Informe a fonte. ","")&amp;IF(K30="","🟡 Classifique a categoria de limite. ","")&amp;IF(TRIM(M30)="","🔴 Sem justificativa de vínculo: se não explica, não coloque. ","")&amp;IF(N30&lt;&gt;"Sim","🟡 Preço de mercado não conferido. ","")&amp;IF(O30="Sim","🔴 Possível DUPLA COBERTURA: a mesma despesa não pode ser paga duas vezes. ","")&amp;IF(AND(L30="Sim",K30&lt;&gt;"Remuneração do proponente"),"🟡 Pessoa vinculada: este valor SOMA no limite de remuneração do proponente. ","")&amp;IF(P30="","",IF(P30&gt;L_FORNECEDOR,"🔴 Fornecedor acima do limite sobre o valor captado (confira exceções). ",IF(P30&gt;=L_FORNECEDOR*MARGEM,"🟡 Fornecedor perto do limite. ","")))&amp;IF(AND(LEFT(K30,5)="Cachê",F30&lt;&gt;""),IF(F30&gt;IFERROR(VLOOKUP(K30,TAB_CATEGORIAS,2,FALSE),9E+99),"🔴 Cachê acima do limite: só com outras fontes ou apreciação da CNIC. ",""),"")&amp;IF(AND(LEFT(H30,6)="Outras",K30&lt;&gt;""),"🟡 Outras fontes: confirme que o recurso existe e está comprometido. ",""))="","🟢 CONFERIDO",IF(AND(B30="",G30=""),"",IF(OR(E30="",F30=""),"🟡 Falta quantidade ou valor. ","")&amp;IF(H30="","🟡 Informe a fonte. ","")&amp;IF(K30="","🟡 Classifique a categoria de limite. ","")&amp;IF(TRIM(M30)="","🔴 Sem justificativa de vínculo: se não explica, não coloque. ","")&amp;IF(N30&lt;&gt;"Sim","🟡 Preço de mercado não conferido. ","")&amp;IF(O30="Sim","🔴 Possível DUPLA COBERTURA: a mesma despesa não pode ser paga duas vezes. ","")&amp;IF(AND(L30="Sim",K30&lt;&gt;"Remuneração do proponente"),"🟡 Pessoa vinculada: este valor SOMA no limite de remuneração do proponente. ","")&amp;IF(P30="","",IF(P30&gt;L_FORNECEDOR,"🔴 Fornecedor acima do limite sobre o valor captado (confira exceções). ",IF(P30&gt;=L_FORNECEDOR*MARGEM,"🟡 Fornecedor perto do limite. ","")))&amp;IF(AND(LEFT(K30,5)="Cachê",F30&lt;&gt;""),IF(F30&gt;IFERROR(VLOOKUP(K30,TAB_CATEGORIAS,2,FALSE),9E+99),"🔴 Cachê acima do limite: só com outras fontes ou apreciação da CNIC. ",""),"")&amp;IF(AND(LEFT(H30,6)="Outras",K30&lt;&gt;""),"🟡 Outras fontes: confirme que o recurso existe e está comprometido. ",""))))</f>
        <v/>
      </c>
    </row>
    <row r="31">
      <c r="A31" s="20" t="n"/>
      <c r="B31" s="20" t="n"/>
      <c r="C31" s="20" t="n"/>
      <c r="D31" s="20" t="n"/>
      <c r="E31" s="20" t="n"/>
      <c r="F31" s="17" t="n"/>
      <c r="G31" s="26">
        <f>IF(OR(E31="",F31=""),"",E31*F31)</f>
        <v/>
      </c>
      <c r="H31" s="20" t="n"/>
      <c r="I31" s="20" t="n"/>
      <c r="J31" s="20" t="n"/>
      <c r="K31" s="20" t="n"/>
      <c r="L31" s="20" t="n"/>
      <c r="M31" s="20" t="n"/>
      <c r="N31" s="20" t="n"/>
      <c r="O31" s="20" t="n"/>
      <c r="P31" s="27">
        <f>IF(OR(I31="",G31="",LEFT(H31,9)&lt;&gt;"Incentivo",VALOR_CAPTADO=0),"",SUMIFS($G$8:$G$207,$I$8:$I$207,I31,$H$8:$H$207,"Incentivo*")/VALOR_CAPTADO)</f>
        <v/>
      </c>
      <c r="Q31" s="21">
        <f>IF(AND(B31="",G31=""),"",IF(IF(AND(B31="",G31=""),"",IF(OR(E31="",F31=""),"🟡 Falta quantidade ou valor. ","")&amp;IF(H31="","🟡 Informe a fonte. ","")&amp;IF(K31="","🟡 Classifique a categoria de limite. ","")&amp;IF(TRIM(M31)="","🔴 Sem justificativa de vínculo: se não explica, não coloque. ","")&amp;IF(N31&lt;&gt;"Sim","🟡 Preço de mercado não conferido. ","")&amp;IF(O31="Sim","🔴 Possível DUPLA COBERTURA: a mesma despesa não pode ser paga duas vezes. ","")&amp;IF(AND(L31="Sim",K31&lt;&gt;"Remuneração do proponente"),"🟡 Pessoa vinculada: este valor SOMA no limite de remuneração do proponente. ","")&amp;IF(P31="","",IF(P31&gt;L_FORNECEDOR,"🔴 Fornecedor acima do limite sobre o valor captado (confira exceções). ",IF(P31&gt;=L_FORNECEDOR*MARGEM,"🟡 Fornecedor perto do limite. ","")))&amp;IF(AND(LEFT(K31,5)="Cachê",F31&lt;&gt;""),IF(F31&gt;IFERROR(VLOOKUP(K31,TAB_CATEGORIAS,2,FALSE),9E+99),"🔴 Cachê acima do limite: só com outras fontes ou apreciação da CNIC. ",""),"")&amp;IF(AND(LEFT(H31,6)="Outras",K31&lt;&gt;""),"🟡 Outras fontes: confirme que o recurso existe e está comprometido. ",""))="","🟢 CONFERIDO",IF(AND(B31="",G31=""),"",IF(OR(E31="",F31=""),"🟡 Falta quantidade ou valor. ","")&amp;IF(H31="","🟡 Informe a fonte. ","")&amp;IF(K31="","🟡 Classifique a categoria de limite. ","")&amp;IF(TRIM(M31)="","🔴 Sem justificativa de vínculo: se não explica, não coloque. ","")&amp;IF(N31&lt;&gt;"Sim","🟡 Preço de mercado não conferido. ","")&amp;IF(O31="Sim","🔴 Possível DUPLA COBERTURA: a mesma despesa não pode ser paga duas vezes. ","")&amp;IF(AND(L31="Sim",K31&lt;&gt;"Remuneração do proponente"),"🟡 Pessoa vinculada: este valor SOMA no limite de remuneração do proponente. ","")&amp;IF(P31="","",IF(P31&gt;L_FORNECEDOR,"🔴 Fornecedor acima do limite sobre o valor captado (confira exceções). ",IF(P31&gt;=L_FORNECEDOR*MARGEM,"🟡 Fornecedor perto do limite. ","")))&amp;IF(AND(LEFT(K31,5)="Cachê",F31&lt;&gt;""),IF(F31&gt;IFERROR(VLOOKUP(K31,TAB_CATEGORIAS,2,FALSE),9E+99),"🔴 Cachê acima do limite: só com outras fontes ou apreciação da CNIC. ",""),"")&amp;IF(AND(LEFT(H31,6)="Outras",K31&lt;&gt;""),"🟡 Outras fontes: confirme que o recurso existe e está comprometido. ",""))))</f>
        <v/>
      </c>
    </row>
    <row r="32">
      <c r="A32" s="20" t="n"/>
      <c r="B32" s="20" t="n"/>
      <c r="C32" s="20" t="n"/>
      <c r="D32" s="20" t="n"/>
      <c r="E32" s="20" t="n"/>
      <c r="F32" s="17" t="n"/>
      <c r="G32" s="26">
        <f>IF(OR(E32="",F32=""),"",E32*F32)</f>
        <v/>
      </c>
      <c r="H32" s="20" t="n"/>
      <c r="I32" s="20" t="n"/>
      <c r="J32" s="20" t="n"/>
      <c r="K32" s="20" t="n"/>
      <c r="L32" s="20" t="n"/>
      <c r="M32" s="20" t="n"/>
      <c r="N32" s="20" t="n"/>
      <c r="O32" s="20" t="n"/>
      <c r="P32" s="27">
        <f>IF(OR(I32="",G32="",LEFT(H32,9)&lt;&gt;"Incentivo",VALOR_CAPTADO=0),"",SUMIFS($G$8:$G$207,$I$8:$I$207,I32,$H$8:$H$207,"Incentivo*")/VALOR_CAPTADO)</f>
        <v/>
      </c>
      <c r="Q32" s="21">
        <f>IF(AND(B32="",G32=""),"",IF(IF(AND(B32="",G32=""),"",IF(OR(E32="",F32=""),"🟡 Falta quantidade ou valor. ","")&amp;IF(H32="","🟡 Informe a fonte. ","")&amp;IF(K32="","🟡 Classifique a categoria de limite. ","")&amp;IF(TRIM(M32)="","🔴 Sem justificativa de vínculo: se não explica, não coloque. ","")&amp;IF(N32&lt;&gt;"Sim","🟡 Preço de mercado não conferido. ","")&amp;IF(O32="Sim","🔴 Possível DUPLA COBERTURA: a mesma despesa não pode ser paga duas vezes. ","")&amp;IF(AND(L32="Sim",K32&lt;&gt;"Remuneração do proponente"),"🟡 Pessoa vinculada: este valor SOMA no limite de remuneração do proponente. ","")&amp;IF(P32="","",IF(P32&gt;L_FORNECEDOR,"🔴 Fornecedor acima do limite sobre o valor captado (confira exceções). ",IF(P32&gt;=L_FORNECEDOR*MARGEM,"🟡 Fornecedor perto do limite. ","")))&amp;IF(AND(LEFT(K32,5)="Cachê",F32&lt;&gt;""),IF(F32&gt;IFERROR(VLOOKUP(K32,TAB_CATEGORIAS,2,FALSE),9E+99),"🔴 Cachê acima do limite: só com outras fontes ou apreciação da CNIC. ",""),"")&amp;IF(AND(LEFT(H32,6)="Outras",K32&lt;&gt;""),"🟡 Outras fontes: confirme que o recurso existe e está comprometido. ",""))="","🟢 CONFERIDO",IF(AND(B32="",G32=""),"",IF(OR(E32="",F32=""),"🟡 Falta quantidade ou valor. ","")&amp;IF(H32="","🟡 Informe a fonte. ","")&amp;IF(K32="","🟡 Classifique a categoria de limite. ","")&amp;IF(TRIM(M32)="","🔴 Sem justificativa de vínculo: se não explica, não coloque. ","")&amp;IF(N32&lt;&gt;"Sim","🟡 Preço de mercado não conferido. ","")&amp;IF(O32="Sim","🔴 Possível DUPLA COBERTURA: a mesma despesa não pode ser paga duas vezes. ","")&amp;IF(AND(L32="Sim",K32&lt;&gt;"Remuneração do proponente"),"🟡 Pessoa vinculada: este valor SOMA no limite de remuneração do proponente. ","")&amp;IF(P32="","",IF(P32&gt;L_FORNECEDOR,"🔴 Fornecedor acima do limite sobre o valor captado (confira exceções). ",IF(P32&gt;=L_FORNECEDOR*MARGEM,"🟡 Fornecedor perto do limite. ","")))&amp;IF(AND(LEFT(K32,5)="Cachê",F32&lt;&gt;""),IF(F32&gt;IFERROR(VLOOKUP(K32,TAB_CATEGORIAS,2,FALSE),9E+99),"🔴 Cachê acima do limite: só com outras fontes ou apreciação da CNIC. ",""),"")&amp;IF(AND(LEFT(H32,6)="Outras",K32&lt;&gt;""),"🟡 Outras fontes: confirme que o recurso existe e está comprometido. ",""))))</f>
        <v/>
      </c>
    </row>
    <row r="33">
      <c r="A33" s="20" t="n"/>
      <c r="B33" s="20" t="n"/>
      <c r="C33" s="20" t="n"/>
      <c r="D33" s="20" t="n"/>
      <c r="E33" s="20" t="n"/>
      <c r="F33" s="17" t="n"/>
      <c r="G33" s="26">
        <f>IF(OR(E33="",F33=""),"",E33*F33)</f>
        <v/>
      </c>
      <c r="H33" s="20" t="n"/>
      <c r="I33" s="20" t="n"/>
      <c r="J33" s="20" t="n"/>
      <c r="K33" s="20" t="n"/>
      <c r="L33" s="20" t="n"/>
      <c r="M33" s="20" t="n"/>
      <c r="N33" s="20" t="n"/>
      <c r="O33" s="20" t="n"/>
      <c r="P33" s="27">
        <f>IF(OR(I33="",G33="",LEFT(H33,9)&lt;&gt;"Incentivo",VALOR_CAPTADO=0),"",SUMIFS($G$8:$G$207,$I$8:$I$207,I33,$H$8:$H$207,"Incentivo*")/VALOR_CAPTADO)</f>
        <v/>
      </c>
      <c r="Q33" s="21">
        <f>IF(AND(B33="",G33=""),"",IF(IF(AND(B33="",G33=""),"",IF(OR(E33="",F33=""),"🟡 Falta quantidade ou valor. ","")&amp;IF(H33="","🟡 Informe a fonte. ","")&amp;IF(K33="","🟡 Classifique a categoria de limite. ","")&amp;IF(TRIM(M33)="","🔴 Sem justificativa de vínculo: se não explica, não coloque. ","")&amp;IF(N33&lt;&gt;"Sim","🟡 Preço de mercado não conferido. ","")&amp;IF(O33="Sim","🔴 Possível DUPLA COBERTURA: a mesma despesa não pode ser paga duas vezes. ","")&amp;IF(AND(L33="Sim",K33&lt;&gt;"Remuneração do proponente"),"🟡 Pessoa vinculada: este valor SOMA no limite de remuneração do proponente. ","")&amp;IF(P33="","",IF(P33&gt;L_FORNECEDOR,"🔴 Fornecedor acima do limite sobre o valor captado (confira exceções). ",IF(P33&gt;=L_FORNECEDOR*MARGEM,"🟡 Fornecedor perto do limite. ","")))&amp;IF(AND(LEFT(K33,5)="Cachê",F33&lt;&gt;""),IF(F33&gt;IFERROR(VLOOKUP(K33,TAB_CATEGORIAS,2,FALSE),9E+99),"🔴 Cachê acima do limite: só com outras fontes ou apreciação da CNIC. ",""),"")&amp;IF(AND(LEFT(H33,6)="Outras",K33&lt;&gt;""),"🟡 Outras fontes: confirme que o recurso existe e está comprometido. ",""))="","🟢 CONFERIDO",IF(AND(B33="",G33=""),"",IF(OR(E33="",F33=""),"🟡 Falta quantidade ou valor. ","")&amp;IF(H33="","🟡 Informe a fonte. ","")&amp;IF(K33="","🟡 Classifique a categoria de limite. ","")&amp;IF(TRIM(M33)="","🔴 Sem justificativa de vínculo: se não explica, não coloque. ","")&amp;IF(N33&lt;&gt;"Sim","🟡 Preço de mercado não conferido. ","")&amp;IF(O33="Sim","🔴 Possível DUPLA COBERTURA: a mesma despesa não pode ser paga duas vezes. ","")&amp;IF(AND(L33="Sim",K33&lt;&gt;"Remuneração do proponente"),"🟡 Pessoa vinculada: este valor SOMA no limite de remuneração do proponente. ","")&amp;IF(P33="","",IF(P33&gt;L_FORNECEDOR,"🔴 Fornecedor acima do limite sobre o valor captado (confira exceções). ",IF(P33&gt;=L_FORNECEDOR*MARGEM,"🟡 Fornecedor perto do limite. ","")))&amp;IF(AND(LEFT(K33,5)="Cachê",F33&lt;&gt;""),IF(F33&gt;IFERROR(VLOOKUP(K33,TAB_CATEGORIAS,2,FALSE),9E+99),"🔴 Cachê acima do limite: só com outras fontes ou apreciação da CNIC. ",""),"")&amp;IF(AND(LEFT(H33,6)="Outras",K33&lt;&gt;""),"🟡 Outras fontes: confirme que o recurso existe e está comprometido. ",""))))</f>
        <v/>
      </c>
    </row>
    <row r="34">
      <c r="A34" s="20" t="n"/>
      <c r="B34" s="20" t="n"/>
      <c r="C34" s="20" t="n"/>
      <c r="D34" s="20" t="n"/>
      <c r="E34" s="20" t="n"/>
      <c r="F34" s="17" t="n"/>
      <c r="G34" s="26">
        <f>IF(OR(E34="",F34=""),"",E34*F34)</f>
        <v/>
      </c>
      <c r="H34" s="20" t="n"/>
      <c r="I34" s="20" t="n"/>
      <c r="J34" s="20" t="n"/>
      <c r="K34" s="20" t="n"/>
      <c r="L34" s="20" t="n"/>
      <c r="M34" s="20" t="n"/>
      <c r="N34" s="20" t="n"/>
      <c r="O34" s="20" t="n"/>
      <c r="P34" s="27">
        <f>IF(OR(I34="",G34="",LEFT(H34,9)&lt;&gt;"Incentivo",VALOR_CAPTADO=0),"",SUMIFS($G$8:$G$207,$I$8:$I$207,I34,$H$8:$H$207,"Incentivo*")/VALOR_CAPTADO)</f>
        <v/>
      </c>
      <c r="Q34" s="21">
        <f>IF(AND(B34="",G34=""),"",IF(IF(AND(B34="",G34=""),"",IF(OR(E34="",F34=""),"🟡 Falta quantidade ou valor. ","")&amp;IF(H34="","🟡 Informe a fonte. ","")&amp;IF(K34="","🟡 Classifique a categoria de limite. ","")&amp;IF(TRIM(M34)="","🔴 Sem justificativa de vínculo: se não explica, não coloque. ","")&amp;IF(N34&lt;&gt;"Sim","🟡 Preço de mercado não conferido. ","")&amp;IF(O34="Sim","🔴 Possível DUPLA COBERTURA: a mesma despesa não pode ser paga duas vezes. ","")&amp;IF(AND(L34="Sim",K34&lt;&gt;"Remuneração do proponente"),"🟡 Pessoa vinculada: este valor SOMA no limite de remuneração do proponente. ","")&amp;IF(P34="","",IF(P34&gt;L_FORNECEDOR,"🔴 Fornecedor acima do limite sobre o valor captado (confira exceções). ",IF(P34&gt;=L_FORNECEDOR*MARGEM,"🟡 Fornecedor perto do limite. ","")))&amp;IF(AND(LEFT(K34,5)="Cachê",F34&lt;&gt;""),IF(F34&gt;IFERROR(VLOOKUP(K34,TAB_CATEGORIAS,2,FALSE),9E+99),"🔴 Cachê acima do limite: só com outras fontes ou apreciação da CNIC. ",""),"")&amp;IF(AND(LEFT(H34,6)="Outras",K34&lt;&gt;""),"🟡 Outras fontes: confirme que o recurso existe e está comprometido. ",""))="","🟢 CONFERIDO",IF(AND(B34="",G34=""),"",IF(OR(E34="",F34=""),"🟡 Falta quantidade ou valor. ","")&amp;IF(H34="","🟡 Informe a fonte. ","")&amp;IF(K34="","🟡 Classifique a categoria de limite. ","")&amp;IF(TRIM(M34)="","🔴 Sem justificativa de vínculo: se não explica, não coloque. ","")&amp;IF(N34&lt;&gt;"Sim","🟡 Preço de mercado não conferido. ","")&amp;IF(O34="Sim","🔴 Possível DUPLA COBERTURA: a mesma despesa não pode ser paga duas vezes. ","")&amp;IF(AND(L34="Sim",K34&lt;&gt;"Remuneração do proponente"),"🟡 Pessoa vinculada: este valor SOMA no limite de remuneração do proponente. ","")&amp;IF(P34="","",IF(P34&gt;L_FORNECEDOR,"🔴 Fornecedor acima do limite sobre o valor captado (confira exceções). ",IF(P34&gt;=L_FORNECEDOR*MARGEM,"🟡 Fornecedor perto do limite. ","")))&amp;IF(AND(LEFT(K34,5)="Cachê",F34&lt;&gt;""),IF(F34&gt;IFERROR(VLOOKUP(K34,TAB_CATEGORIAS,2,FALSE),9E+99),"🔴 Cachê acima do limite: só com outras fontes ou apreciação da CNIC. ",""),"")&amp;IF(AND(LEFT(H34,6)="Outras",K34&lt;&gt;""),"🟡 Outras fontes: confirme que o recurso existe e está comprometido. ",""))))</f>
        <v/>
      </c>
    </row>
    <row r="35">
      <c r="A35" s="20" t="n"/>
      <c r="B35" s="20" t="n"/>
      <c r="C35" s="20" t="n"/>
      <c r="D35" s="20" t="n"/>
      <c r="E35" s="20" t="n"/>
      <c r="F35" s="17" t="n"/>
      <c r="G35" s="26">
        <f>IF(OR(E35="",F35=""),"",E35*F35)</f>
        <v/>
      </c>
      <c r="H35" s="20" t="n"/>
      <c r="I35" s="20" t="n"/>
      <c r="J35" s="20" t="n"/>
      <c r="K35" s="20" t="n"/>
      <c r="L35" s="20" t="n"/>
      <c r="M35" s="20" t="n"/>
      <c r="N35" s="20" t="n"/>
      <c r="O35" s="20" t="n"/>
      <c r="P35" s="27">
        <f>IF(OR(I35="",G35="",LEFT(H35,9)&lt;&gt;"Incentivo",VALOR_CAPTADO=0),"",SUMIFS($G$8:$G$207,$I$8:$I$207,I35,$H$8:$H$207,"Incentivo*")/VALOR_CAPTADO)</f>
        <v/>
      </c>
      <c r="Q35" s="21">
        <f>IF(AND(B35="",G35=""),"",IF(IF(AND(B35="",G35=""),"",IF(OR(E35="",F35=""),"🟡 Falta quantidade ou valor. ","")&amp;IF(H35="","🟡 Informe a fonte. ","")&amp;IF(K35="","🟡 Classifique a categoria de limite. ","")&amp;IF(TRIM(M35)="","🔴 Sem justificativa de vínculo: se não explica, não coloque. ","")&amp;IF(N35&lt;&gt;"Sim","🟡 Preço de mercado não conferido. ","")&amp;IF(O35="Sim","🔴 Possível DUPLA COBERTURA: a mesma despesa não pode ser paga duas vezes. ","")&amp;IF(AND(L35="Sim",K35&lt;&gt;"Remuneração do proponente"),"🟡 Pessoa vinculada: este valor SOMA no limite de remuneração do proponente. ","")&amp;IF(P35="","",IF(P35&gt;L_FORNECEDOR,"🔴 Fornecedor acima do limite sobre o valor captado (confira exceções). ",IF(P35&gt;=L_FORNECEDOR*MARGEM,"🟡 Fornecedor perto do limite. ","")))&amp;IF(AND(LEFT(K35,5)="Cachê",F35&lt;&gt;""),IF(F35&gt;IFERROR(VLOOKUP(K35,TAB_CATEGORIAS,2,FALSE),9E+99),"🔴 Cachê acima do limite: só com outras fontes ou apreciação da CNIC. ",""),"")&amp;IF(AND(LEFT(H35,6)="Outras",K35&lt;&gt;""),"🟡 Outras fontes: confirme que o recurso existe e está comprometido. ",""))="","🟢 CONFERIDO",IF(AND(B35="",G35=""),"",IF(OR(E35="",F35=""),"🟡 Falta quantidade ou valor. ","")&amp;IF(H35="","🟡 Informe a fonte. ","")&amp;IF(K35="","🟡 Classifique a categoria de limite. ","")&amp;IF(TRIM(M35)="","🔴 Sem justificativa de vínculo: se não explica, não coloque. ","")&amp;IF(N35&lt;&gt;"Sim","🟡 Preço de mercado não conferido. ","")&amp;IF(O35="Sim","🔴 Possível DUPLA COBERTURA: a mesma despesa não pode ser paga duas vezes. ","")&amp;IF(AND(L35="Sim",K35&lt;&gt;"Remuneração do proponente"),"🟡 Pessoa vinculada: este valor SOMA no limite de remuneração do proponente. ","")&amp;IF(P35="","",IF(P35&gt;L_FORNECEDOR,"🔴 Fornecedor acima do limite sobre o valor captado (confira exceções). ",IF(P35&gt;=L_FORNECEDOR*MARGEM,"🟡 Fornecedor perto do limite. ","")))&amp;IF(AND(LEFT(K35,5)="Cachê",F35&lt;&gt;""),IF(F35&gt;IFERROR(VLOOKUP(K35,TAB_CATEGORIAS,2,FALSE),9E+99),"🔴 Cachê acima do limite: só com outras fontes ou apreciação da CNIC. ",""),"")&amp;IF(AND(LEFT(H35,6)="Outras",K35&lt;&gt;""),"🟡 Outras fontes: confirme que o recurso existe e está comprometido. ",""))))</f>
        <v/>
      </c>
    </row>
    <row r="36">
      <c r="A36" s="20" t="n"/>
      <c r="B36" s="20" t="n"/>
      <c r="C36" s="20" t="n"/>
      <c r="D36" s="20" t="n"/>
      <c r="E36" s="20" t="n"/>
      <c r="F36" s="17" t="n"/>
      <c r="G36" s="26">
        <f>IF(OR(E36="",F36=""),"",E36*F36)</f>
        <v/>
      </c>
      <c r="H36" s="20" t="n"/>
      <c r="I36" s="20" t="n"/>
      <c r="J36" s="20" t="n"/>
      <c r="K36" s="20" t="n"/>
      <c r="L36" s="20" t="n"/>
      <c r="M36" s="20" t="n"/>
      <c r="N36" s="20" t="n"/>
      <c r="O36" s="20" t="n"/>
      <c r="P36" s="27">
        <f>IF(OR(I36="",G36="",LEFT(H36,9)&lt;&gt;"Incentivo",VALOR_CAPTADO=0),"",SUMIFS($G$8:$G$207,$I$8:$I$207,I36,$H$8:$H$207,"Incentivo*")/VALOR_CAPTADO)</f>
        <v/>
      </c>
      <c r="Q36" s="21">
        <f>IF(AND(B36="",G36=""),"",IF(IF(AND(B36="",G36=""),"",IF(OR(E36="",F36=""),"🟡 Falta quantidade ou valor. ","")&amp;IF(H36="","🟡 Informe a fonte. ","")&amp;IF(K36="","🟡 Classifique a categoria de limite. ","")&amp;IF(TRIM(M36)="","🔴 Sem justificativa de vínculo: se não explica, não coloque. ","")&amp;IF(N36&lt;&gt;"Sim","🟡 Preço de mercado não conferido. ","")&amp;IF(O36="Sim","🔴 Possível DUPLA COBERTURA: a mesma despesa não pode ser paga duas vezes. ","")&amp;IF(AND(L36="Sim",K36&lt;&gt;"Remuneração do proponente"),"🟡 Pessoa vinculada: este valor SOMA no limite de remuneração do proponente. ","")&amp;IF(P36="","",IF(P36&gt;L_FORNECEDOR,"🔴 Fornecedor acima do limite sobre o valor captado (confira exceções). ",IF(P36&gt;=L_FORNECEDOR*MARGEM,"🟡 Fornecedor perto do limite. ","")))&amp;IF(AND(LEFT(K36,5)="Cachê",F36&lt;&gt;""),IF(F36&gt;IFERROR(VLOOKUP(K36,TAB_CATEGORIAS,2,FALSE),9E+99),"🔴 Cachê acima do limite: só com outras fontes ou apreciação da CNIC. ",""),"")&amp;IF(AND(LEFT(H36,6)="Outras",K36&lt;&gt;""),"🟡 Outras fontes: confirme que o recurso existe e está comprometido. ",""))="","🟢 CONFERIDO",IF(AND(B36="",G36=""),"",IF(OR(E36="",F36=""),"🟡 Falta quantidade ou valor. ","")&amp;IF(H36="","🟡 Informe a fonte. ","")&amp;IF(K36="","🟡 Classifique a categoria de limite. ","")&amp;IF(TRIM(M36)="","🔴 Sem justificativa de vínculo: se não explica, não coloque. ","")&amp;IF(N36&lt;&gt;"Sim","🟡 Preço de mercado não conferido. ","")&amp;IF(O36="Sim","🔴 Possível DUPLA COBERTURA: a mesma despesa não pode ser paga duas vezes. ","")&amp;IF(AND(L36="Sim",K36&lt;&gt;"Remuneração do proponente"),"🟡 Pessoa vinculada: este valor SOMA no limite de remuneração do proponente. ","")&amp;IF(P36="","",IF(P36&gt;L_FORNECEDOR,"🔴 Fornecedor acima do limite sobre o valor captado (confira exceções). ",IF(P36&gt;=L_FORNECEDOR*MARGEM,"🟡 Fornecedor perto do limite. ","")))&amp;IF(AND(LEFT(K36,5)="Cachê",F36&lt;&gt;""),IF(F36&gt;IFERROR(VLOOKUP(K36,TAB_CATEGORIAS,2,FALSE),9E+99),"🔴 Cachê acima do limite: só com outras fontes ou apreciação da CNIC. ",""),"")&amp;IF(AND(LEFT(H36,6)="Outras",K36&lt;&gt;""),"🟡 Outras fontes: confirme que o recurso existe e está comprometido. ",""))))</f>
        <v/>
      </c>
    </row>
    <row r="37">
      <c r="A37" s="20" t="n"/>
      <c r="B37" s="20" t="n"/>
      <c r="C37" s="20" t="n"/>
      <c r="D37" s="20" t="n"/>
      <c r="E37" s="20" t="n"/>
      <c r="F37" s="17" t="n"/>
      <c r="G37" s="26">
        <f>IF(OR(E37="",F37=""),"",E37*F37)</f>
        <v/>
      </c>
      <c r="H37" s="20" t="n"/>
      <c r="I37" s="20" t="n"/>
      <c r="J37" s="20" t="n"/>
      <c r="K37" s="20" t="n"/>
      <c r="L37" s="20" t="n"/>
      <c r="M37" s="20" t="n"/>
      <c r="N37" s="20" t="n"/>
      <c r="O37" s="20" t="n"/>
      <c r="P37" s="27">
        <f>IF(OR(I37="",G37="",LEFT(H37,9)&lt;&gt;"Incentivo",VALOR_CAPTADO=0),"",SUMIFS($G$8:$G$207,$I$8:$I$207,I37,$H$8:$H$207,"Incentivo*")/VALOR_CAPTADO)</f>
        <v/>
      </c>
      <c r="Q37" s="21">
        <f>IF(AND(B37="",G37=""),"",IF(IF(AND(B37="",G37=""),"",IF(OR(E37="",F37=""),"🟡 Falta quantidade ou valor. ","")&amp;IF(H37="","🟡 Informe a fonte. ","")&amp;IF(K37="","🟡 Classifique a categoria de limite. ","")&amp;IF(TRIM(M37)="","🔴 Sem justificativa de vínculo: se não explica, não coloque. ","")&amp;IF(N37&lt;&gt;"Sim","🟡 Preço de mercado não conferido. ","")&amp;IF(O37="Sim","🔴 Possível DUPLA COBERTURA: a mesma despesa não pode ser paga duas vezes. ","")&amp;IF(AND(L37="Sim",K37&lt;&gt;"Remuneração do proponente"),"🟡 Pessoa vinculada: este valor SOMA no limite de remuneração do proponente. ","")&amp;IF(P37="","",IF(P37&gt;L_FORNECEDOR,"🔴 Fornecedor acima do limite sobre o valor captado (confira exceções). ",IF(P37&gt;=L_FORNECEDOR*MARGEM,"🟡 Fornecedor perto do limite. ","")))&amp;IF(AND(LEFT(K37,5)="Cachê",F37&lt;&gt;""),IF(F37&gt;IFERROR(VLOOKUP(K37,TAB_CATEGORIAS,2,FALSE),9E+99),"🔴 Cachê acima do limite: só com outras fontes ou apreciação da CNIC. ",""),"")&amp;IF(AND(LEFT(H37,6)="Outras",K37&lt;&gt;""),"🟡 Outras fontes: confirme que o recurso existe e está comprometido. ",""))="","🟢 CONFERIDO",IF(AND(B37="",G37=""),"",IF(OR(E37="",F37=""),"🟡 Falta quantidade ou valor. ","")&amp;IF(H37="","🟡 Informe a fonte. ","")&amp;IF(K37="","🟡 Classifique a categoria de limite. ","")&amp;IF(TRIM(M37)="","🔴 Sem justificativa de vínculo: se não explica, não coloque. ","")&amp;IF(N37&lt;&gt;"Sim","🟡 Preço de mercado não conferido. ","")&amp;IF(O37="Sim","🔴 Possível DUPLA COBERTURA: a mesma despesa não pode ser paga duas vezes. ","")&amp;IF(AND(L37="Sim",K37&lt;&gt;"Remuneração do proponente"),"🟡 Pessoa vinculada: este valor SOMA no limite de remuneração do proponente. ","")&amp;IF(P37="","",IF(P37&gt;L_FORNECEDOR,"🔴 Fornecedor acima do limite sobre o valor captado (confira exceções). ",IF(P37&gt;=L_FORNECEDOR*MARGEM,"🟡 Fornecedor perto do limite. ","")))&amp;IF(AND(LEFT(K37,5)="Cachê",F37&lt;&gt;""),IF(F37&gt;IFERROR(VLOOKUP(K37,TAB_CATEGORIAS,2,FALSE),9E+99),"🔴 Cachê acima do limite: só com outras fontes ou apreciação da CNIC. ",""),"")&amp;IF(AND(LEFT(H37,6)="Outras",K37&lt;&gt;""),"🟡 Outras fontes: confirme que o recurso existe e está comprometido. ",""))))</f>
        <v/>
      </c>
    </row>
    <row r="38">
      <c r="A38" s="20" t="n"/>
      <c r="B38" s="20" t="n"/>
      <c r="C38" s="20" t="n"/>
      <c r="D38" s="20" t="n"/>
      <c r="E38" s="20" t="n"/>
      <c r="F38" s="17" t="n"/>
      <c r="G38" s="26">
        <f>IF(OR(E38="",F38=""),"",E38*F38)</f>
        <v/>
      </c>
      <c r="H38" s="20" t="n"/>
      <c r="I38" s="20" t="n"/>
      <c r="J38" s="20" t="n"/>
      <c r="K38" s="20" t="n"/>
      <c r="L38" s="20" t="n"/>
      <c r="M38" s="20" t="n"/>
      <c r="N38" s="20" t="n"/>
      <c r="O38" s="20" t="n"/>
      <c r="P38" s="27">
        <f>IF(OR(I38="",G38="",LEFT(H38,9)&lt;&gt;"Incentivo",VALOR_CAPTADO=0),"",SUMIFS($G$8:$G$207,$I$8:$I$207,I38,$H$8:$H$207,"Incentivo*")/VALOR_CAPTADO)</f>
        <v/>
      </c>
      <c r="Q38" s="21">
        <f>IF(AND(B38="",G38=""),"",IF(IF(AND(B38="",G38=""),"",IF(OR(E38="",F38=""),"🟡 Falta quantidade ou valor. ","")&amp;IF(H38="","🟡 Informe a fonte. ","")&amp;IF(K38="","🟡 Classifique a categoria de limite. ","")&amp;IF(TRIM(M38)="","🔴 Sem justificativa de vínculo: se não explica, não coloque. ","")&amp;IF(N38&lt;&gt;"Sim","🟡 Preço de mercado não conferido. ","")&amp;IF(O38="Sim","🔴 Possível DUPLA COBERTURA: a mesma despesa não pode ser paga duas vezes. ","")&amp;IF(AND(L38="Sim",K38&lt;&gt;"Remuneração do proponente"),"🟡 Pessoa vinculada: este valor SOMA no limite de remuneração do proponente. ","")&amp;IF(P38="","",IF(P38&gt;L_FORNECEDOR,"🔴 Fornecedor acima do limite sobre o valor captado (confira exceções). ",IF(P38&gt;=L_FORNECEDOR*MARGEM,"🟡 Fornecedor perto do limite. ","")))&amp;IF(AND(LEFT(K38,5)="Cachê",F38&lt;&gt;""),IF(F38&gt;IFERROR(VLOOKUP(K38,TAB_CATEGORIAS,2,FALSE),9E+99),"🔴 Cachê acima do limite: só com outras fontes ou apreciação da CNIC. ",""),"")&amp;IF(AND(LEFT(H38,6)="Outras",K38&lt;&gt;""),"🟡 Outras fontes: confirme que o recurso existe e está comprometido. ",""))="","🟢 CONFERIDO",IF(AND(B38="",G38=""),"",IF(OR(E38="",F38=""),"🟡 Falta quantidade ou valor. ","")&amp;IF(H38="","🟡 Informe a fonte. ","")&amp;IF(K38="","🟡 Classifique a categoria de limite. ","")&amp;IF(TRIM(M38)="","🔴 Sem justificativa de vínculo: se não explica, não coloque. ","")&amp;IF(N38&lt;&gt;"Sim","🟡 Preço de mercado não conferido. ","")&amp;IF(O38="Sim","🔴 Possível DUPLA COBERTURA: a mesma despesa não pode ser paga duas vezes. ","")&amp;IF(AND(L38="Sim",K38&lt;&gt;"Remuneração do proponente"),"🟡 Pessoa vinculada: este valor SOMA no limite de remuneração do proponente. ","")&amp;IF(P38="","",IF(P38&gt;L_FORNECEDOR,"🔴 Fornecedor acima do limite sobre o valor captado (confira exceções). ",IF(P38&gt;=L_FORNECEDOR*MARGEM,"🟡 Fornecedor perto do limite. ","")))&amp;IF(AND(LEFT(K38,5)="Cachê",F38&lt;&gt;""),IF(F38&gt;IFERROR(VLOOKUP(K38,TAB_CATEGORIAS,2,FALSE),9E+99),"🔴 Cachê acima do limite: só com outras fontes ou apreciação da CNIC. ",""),"")&amp;IF(AND(LEFT(H38,6)="Outras",K38&lt;&gt;""),"🟡 Outras fontes: confirme que o recurso existe e está comprometido. ",""))))</f>
        <v/>
      </c>
    </row>
    <row r="39">
      <c r="A39" s="20" t="n"/>
      <c r="B39" s="20" t="n"/>
      <c r="C39" s="20" t="n"/>
      <c r="D39" s="20" t="n"/>
      <c r="E39" s="20" t="n"/>
      <c r="F39" s="17" t="n"/>
      <c r="G39" s="26">
        <f>IF(OR(E39="",F39=""),"",E39*F39)</f>
        <v/>
      </c>
      <c r="H39" s="20" t="n"/>
      <c r="I39" s="20" t="n"/>
      <c r="J39" s="20" t="n"/>
      <c r="K39" s="20" t="n"/>
      <c r="L39" s="20" t="n"/>
      <c r="M39" s="20" t="n"/>
      <c r="N39" s="20" t="n"/>
      <c r="O39" s="20" t="n"/>
      <c r="P39" s="27">
        <f>IF(OR(I39="",G39="",LEFT(H39,9)&lt;&gt;"Incentivo",VALOR_CAPTADO=0),"",SUMIFS($G$8:$G$207,$I$8:$I$207,I39,$H$8:$H$207,"Incentivo*")/VALOR_CAPTADO)</f>
        <v/>
      </c>
      <c r="Q39" s="21">
        <f>IF(AND(B39="",G39=""),"",IF(IF(AND(B39="",G39=""),"",IF(OR(E39="",F39=""),"🟡 Falta quantidade ou valor. ","")&amp;IF(H39="","🟡 Informe a fonte. ","")&amp;IF(K39="","🟡 Classifique a categoria de limite. ","")&amp;IF(TRIM(M39)="","🔴 Sem justificativa de vínculo: se não explica, não coloque. ","")&amp;IF(N39&lt;&gt;"Sim","🟡 Preço de mercado não conferido. ","")&amp;IF(O39="Sim","🔴 Possível DUPLA COBERTURA: a mesma despesa não pode ser paga duas vezes. ","")&amp;IF(AND(L39="Sim",K39&lt;&gt;"Remuneração do proponente"),"🟡 Pessoa vinculada: este valor SOMA no limite de remuneração do proponente. ","")&amp;IF(P39="","",IF(P39&gt;L_FORNECEDOR,"🔴 Fornecedor acima do limite sobre o valor captado (confira exceções). ",IF(P39&gt;=L_FORNECEDOR*MARGEM,"🟡 Fornecedor perto do limite. ","")))&amp;IF(AND(LEFT(K39,5)="Cachê",F39&lt;&gt;""),IF(F39&gt;IFERROR(VLOOKUP(K39,TAB_CATEGORIAS,2,FALSE),9E+99),"🔴 Cachê acima do limite: só com outras fontes ou apreciação da CNIC. ",""),"")&amp;IF(AND(LEFT(H39,6)="Outras",K39&lt;&gt;""),"🟡 Outras fontes: confirme que o recurso existe e está comprometido. ",""))="","🟢 CONFERIDO",IF(AND(B39="",G39=""),"",IF(OR(E39="",F39=""),"🟡 Falta quantidade ou valor. ","")&amp;IF(H39="","🟡 Informe a fonte. ","")&amp;IF(K39="","🟡 Classifique a categoria de limite. ","")&amp;IF(TRIM(M39)="","🔴 Sem justificativa de vínculo: se não explica, não coloque. ","")&amp;IF(N39&lt;&gt;"Sim","🟡 Preço de mercado não conferido. ","")&amp;IF(O39="Sim","🔴 Possível DUPLA COBERTURA: a mesma despesa não pode ser paga duas vezes. ","")&amp;IF(AND(L39="Sim",K39&lt;&gt;"Remuneração do proponente"),"🟡 Pessoa vinculada: este valor SOMA no limite de remuneração do proponente. ","")&amp;IF(P39="","",IF(P39&gt;L_FORNECEDOR,"🔴 Fornecedor acima do limite sobre o valor captado (confira exceções). ",IF(P39&gt;=L_FORNECEDOR*MARGEM,"🟡 Fornecedor perto do limite. ","")))&amp;IF(AND(LEFT(K39,5)="Cachê",F39&lt;&gt;""),IF(F39&gt;IFERROR(VLOOKUP(K39,TAB_CATEGORIAS,2,FALSE),9E+99),"🔴 Cachê acima do limite: só com outras fontes ou apreciação da CNIC. ",""),"")&amp;IF(AND(LEFT(H39,6)="Outras",K39&lt;&gt;""),"🟡 Outras fontes: confirme que o recurso existe e está comprometido. ",""))))</f>
        <v/>
      </c>
    </row>
    <row r="40">
      <c r="A40" s="20" t="n"/>
      <c r="B40" s="20" t="n"/>
      <c r="C40" s="20" t="n"/>
      <c r="D40" s="20" t="n"/>
      <c r="E40" s="20" t="n"/>
      <c r="F40" s="17" t="n"/>
      <c r="G40" s="26">
        <f>IF(OR(E40="",F40=""),"",E40*F40)</f>
        <v/>
      </c>
      <c r="H40" s="20" t="n"/>
      <c r="I40" s="20" t="n"/>
      <c r="J40" s="20" t="n"/>
      <c r="K40" s="20" t="n"/>
      <c r="L40" s="20" t="n"/>
      <c r="M40" s="20" t="n"/>
      <c r="N40" s="20" t="n"/>
      <c r="O40" s="20" t="n"/>
      <c r="P40" s="27">
        <f>IF(OR(I40="",G40="",LEFT(H40,9)&lt;&gt;"Incentivo",VALOR_CAPTADO=0),"",SUMIFS($G$8:$G$207,$I$8:$I$207,I40,$H$8:$H$207,"Incentivo*")/VALOR_CAPTADO)</f>
        <v/>
      </c>
      <c r="Q40" s="21">
        <f>IF(AND(B40="",G40=""),"",IF(IF(AND(B40="",G40=""),"",IF(OR(E40="",F40=""),"🟡 Falta quantidade ou valor. ","")&amp;IF(H40="","🟡 Informe a fonte. ","")&amp;IF(K40="","🟡 Classifique a categoria de limite. ","")&amp;IF(TRIM(M40)="","🔴 Sem justificativa de vínculo: se não explica, não coloque. ","")&amp;IF(N40&lt;&gt;"Sim","🟡 Preço de mercado não conferido. ","")&amp;IF(O40="Sim","🔴 Possível DUPLA COBERTURA: a mesma despesa não pode ser paga duas vezes. ","")&amp;IF(AND(L40="Sim",K40&lt;&gt;"Remuneração do proponente"),"🟡 Pessoa vinculada: este valor SOMA no limite de remuneração do proponente. ","")&amp;IF(P40="","",IF(P40&gt;L_FORNECEDOR,"🔴 Fornecedor acima do limite sobre o valor captado (confira exceções). ",IF(P40&gt;=L_FORNECEDOR*MARGEM,"🟡 Fornecedor perto do limite. ","")))&amp;IF(AND(LEFT(K40,5)="Cachê",F40&lt;&gt;""),IF(F40&gt;IFERROR(VLOOKUP(K40,TAB_CATEGORIAS,2,FALSE),9E+99),"🔴 Cachê acima do limite: só com outras fontes ou apreciação da CNIC. ",""),"")&amp;IF(AND(LEFT(H40,6)="Outras",K40&lt;&gt;""),"🟡 Outras fontes: confirme que o recurso existe e está comprometido. ",""))="","🟢 CONFERIDO",IF(AND(B40="",G40=""),"",IF(OR(E40="",F40=""),"🟡 Falta quantidade ou valor. ","")&amp;IF(H40="","🟡 Informe a fonte. ","")&amp;IF(K40="","🟡 Classifique a categoria de limite. ","")&amp;IF(TRIM(M40)="","🔴 Sem justificativa de vínculo: se não explica, não coloque. ","")&amp;IF(N40&lt;&gt;"Sim","🟡 Preço de mercado não conferido. ","")&amp;IF(O40="Sim","🔴 Possível DUPLA COBERTURA: a mesma despesa não pode ser paga duas vezes. ","")&amp;IF(AND(L40="Sim",K40&lt;&gt;"Remuneração do proponente"),"🟡 Pessoa vinculada: este valor SOMA no limite de remuneração do proponente. ","")&amp;IF(P40="","",IF(P40&gt;L_FORNECEDOR,"🔴 Fornecedor acima do limite sobre o valor captado (confira exceções). ",IF(P40&gt;=L_FORNECEDOR*MARGEM,"🟡 Fornecedor perto do limite. ","")))&amp;IF(AND(LEFT(K40,5)="Cachê",F40&lt;&gt;""),IF(F40&gt;IFERROR(VLOOKUP(K40,TAB_CATEGORIAS,2,FALSE),9E+99),"🔴 Cachê acima do limite: só com outras fontes ou apreciação da CNIC. ",""),"")&amp;IF(AND(LEFT(H40,6)="Outras",K40&lt;&gt;""),"🟡 Outras fontes: confirme que o recurso existe e está comprometido. ",""))))</f>
        <v/>
      </c>
    </row>
    <row r="41">
      <c r="A41" s="20" t="n"/>
      <c r="B41" s="20" t="n"/>
      <c r="C41" s="20" t="n"/>
      <c r="D41" s="20" t="n"/>
      <c r="E41" s="20" t="n"/>
      <c r="F41" s="17" t="n"/>
      <c r="G41" s="26">
        <f>IF(OR(E41="",F41=""),"",E41*F41)</f>
        <v/>
      </c>
      <c r="H41" s="20" t="n"/>
      <c r="I41" s="20" t="n"/>
      <c r="J41" s="20" t="n"/>
      <c r="K41" s="20" t="n"/>
      <c r="L41" s="20" t="n"/>
      <c r="M41" s="20" t="n"/>
      <c r="N41" s="20" t="n"/>
      <c r="O41" s="20" t="n"/>
      <c r="P41" s="27">
        <f>IF(OR(I41="",G41="",LEFT(H41,9)&lt;&gt;"Incentivo",VALOR_CAPTADO=0),"",SUMIFS($G$8:$G$207,$I$8:$I$207,I41,$H$8:$H$207,"Incentivo*")/VALOR_CAPTADO)</f>
        <v/>
      </c>
      <c r="Q41" s="21">
        <f>IF(AND(B41="",G41=""),"",IF(IF(AND(B41="",G41=""),"",IF(OR(E41="",F41=""),"🟡 Falta quantidade ou valor. ","")&amp;IF(H41="","🟡 Informe a fonte. ","")&amp;IF(K41="","🟡 Classifique a categoria de limite. ","")&amp;IF(TRIM(M41)="","🔴 Sem justificativa de vínculo: se não explica, não coloque. ","")&amp;IF(N41&lt;&gt;"Sim","🟡 Preço de mercado não conferido. ","")&amp;IF(O41="Sim","🔴 Possível DUPLA COBERTURA: a mesma despesa não pode ser paga duas vezes. ","")&amp;IF(AND(L41="Sim",K41&lt;&gt;"Remuneração do proponente"),"🟡 Pessoa vinculada: este valor SOMA no limite de remuneração do proponente. ","")&amp;IF(P41="","",IF(P41&gt;L_FORNECEDOR,"🔴 Fornecedor acima do limite sobre o valor captado (confira exceções). ",IF(P41&gt;=L_FORNECEDOR*MARGEM,"🟡 Fornecedor perto do limite. ","")))&amp;IF(AND(LEFT(K41,5)="Cachê",F41&lt;&gt;""),IF(F41&gt;IFERROR(VLOOKUP(K41,TAB_CATEGORIAS,2,FALSE),9E+99),"🔴 Cachê acima do limite: só com outras fontes ou apreciação da CNIC. ",""),"")&amp;IF(AND(LEFT(H41,6)="Outras",K41&lt;&gt;""),"🟡 Outras fontes: confirme que o recurso existe e está comprometido. ",""))="","🟢 CONFERIDO",IF(AND(B41="",G41=""),"",IF(OR(E41="",F41=""),"🟡 Falta quantidade ou valor. ","")&amp;IF(H41="","🟡 Informe a fonte. ","")&amp;IF(K41="","🟡 Classifique a categoria de limite. ","")&amp;IF(TRIM(M41)="","🔴 Sem justificativa de vínculo: se não explica, não coloque. ","")&amp;IF(N41&lt;&gt;"Sim","🟡 Preço de mercado não conferido. ","")&amp;IF(O41="Sim","🔴 Possível DUPLA COBERTURA: a mesma despesa não pode ser paga duas vezes. ","")&amp;IF(AND(L41="Sim",K41&lt;&gt;"Remuneração do proponente"),"🟡 Pessoa vinculada: este valor SOMA no limite de remuneração do proponente. ","")&amp;IF(P41="","",IF(P41&gt;L_FORNECEDOR,"🔴 Fornecedor acima do limite sobre o valor captado (confira exceções). ",IF(P41&gt;=L_FORNECEDOR*MARGEM,"🟡 Fornecedor perto do limite. ","")))&amp;IF(AND(LEFT(K41,5)="Cachê",F41&lt;&gt;""),IF(F41&gt;IFERROR(VLOOKUP(K41,TAB_CATEGORIAS,2,FALSE),9E+99),"🔴 Cachê acima do limite: só com outras fontes ou apreciação da CNIC. ",""),"")&amp;IF(AND(LEFT(H41,6)="Outras",K41&lt;&gt;""),"🟡 Outras fontes: confirme que o recurso existe e está comprometido. ",""))))</f>
        <v/>
      </c>
    </row>
    <row r="42">
      <c r="A42" s="20" t="n"/>
      <c r="B42" s="20" t="n"/>
      <c r="C42" s="20" t="n"/>
      <c r="D42" s="20" t="n"/>
      <c r="E42" s="20" t="n"/>
      <c r="F42" s="17" t="n"/>
      <c r="G42" s="26">
        <f>IF(OR(E42="",F42=""),"",E42*F42)</f>
        <v/>
      </c>
      <c r="H42" s="20" t="n"/>
      <c r="I42" s="20" t="n"/>
      <c r="J42" s="20" t="n"/>
      <c r="K42" s="20" t="n"/>
      <c r="L42" s="20" t="n"/>
      <c r="M42" s="20" t="n"/>
      <c r="N42" s="20" t="n"/>
      <c r="O42" s="20" t="n"/>
      <c r="P42" s="27">
        <f>IF(OR(I42="",G42="",LEFT(H42,9)&lt;&gt;"Incentivo",VALOR_CAPTADO=0),"",SUMIFS($G$8:$G$207,$I$8:$I$207,I42,$H$8:$H$207,"Incentivo*")/VALOR_CAPTADO)</f>
        <v/>
      </c>
      <c r="Q42" s="21">
        <f>IF(AND(B42="",G42=""),"",IF(IF(AND(B42="",G42=""),"",IF(OR(E42="",F42=""),"🟡 Falta quantidade ou valor. ","")&amp;IF(H42="","🟡 Informe a fonte. ","")&amp;IF(K42="","🟡 Classifique a categoria de limite. ","")&amp;IF(TRIM(M42)="","🔴 Sem justificativa de vínculo: se não explica, não coloque. ","")&amp;IF(N42&lt;&gt;"Sim","🟡 Preço de mercado não conferido. ","")&amp;IF(O42="Sim","🔴 Possível DUPLA COBERTURA: a mesma despesa não pode ser paga duas vezes. ","")&amp;IF(AND(L42="Sim",K42&lt;&gt;"Remuneração do proponente"),"🟡 Pessoa vinculada: este valor SOMA no limite de remuneração do proponente. ","")&amp;IF(P42="","",IF(P42&gt;L_FORNECEDOR,"🔴 Fornecedor acima do limite sobre o valor captado (confira exceções). ",IF(P42&gt;=L_FORNECEDOR*MARGEM,"🟡 Fornecedor perto do limite. ","")))&amp;IF(AND(LEFT(K42,5)="Cachê",F42&lt;&gt;""),IF(F42&gt;IFERROR(VLOOKUP(K42,TAB_CATEGORIAS,2,FALSE),9E+99),"🔴 Cachê acima do limite: só com outras fontes ou apreciação da CNIC. ",""),"")&amp;IF(AND(LEFT(H42,6)="Outras",K42&lt;&gt;""),"🟡 Outras fontes: confirme que o recurso existe e está comprometido. ",""))="","🟢 CONFERIDO",IF(AND(B42="",G42=""),"",IF(OR(E42="",F42=""),"🟡 Falta quantidade ou valor. ","")&amp;IF(H42="","🟡 Informe a fonte. ","")&amp;IF(K42="","🟡 Classifique a categoria de limite. ","")&amp;IF(TRIM(M42)="","🔴 Sem justificativa de vínculo: se não explica, não coloque. ","")&amp;IF(N42&lt;&gt;"Sim","🟡 Preço de mercado não conferido. ","")&amp;IF(O42="Sim","🔴 Possível DUPLA COBERTURA: a mesma despesa não pode ser paga duas vezes. ","")&amp;IF(AND(L42="Sim",K42&lt;&gt;"Remuneração do proponente"),"🟡 Pessoa vinculada: este valor SOMA no limite de remuneração do proponente. ","")&amp;IF(P42="","",IF(P42&gt;L_FORNECEDOR,"🔴 Fornecedor acima do limite sobre o valor captado (confira exceções). ",IF(P42&gt;=L_FORNECEDOR*MARGEM,"🟡 Fornecedor perto do limite. ","")))&amp;IF(AND(LEFT(K42,5)="Cachê",F42&lt;&gt;""),IF(F42&gt;IFERROR(VLOOKUP(K42,TAB_CATEGORIAS,2,FALSE),9E+99),"🔴 Cachê acima do limite: só com outras fontes ou apreciação da CNIC. ",""),"")&amp;IF(AND(LEFT(H42,6)="Outras",K42&lt;&gt;""),"🟡 Outras fontes: confirme que o recurso existe e está comprometido. ",""))))</f>
        <v/>
      </c>
    </row>
    <row r="43">
      <c r="A43" s="20" t="n"/>
      <c r="B43" s="20" t="n"/>
      <c r="C43" s="20" t="n"/>
      <c r="D43" s="20" t="n"/>
      <c r="E43" s="20" t="n"/>
      <c r="F43" s="17" t="n"/>
      <c r="G43" s="26">
        <f>IF(OR(E43="",F43=""),"",E43*F43)</f>
        <v/>
      </c>
      <c r="H43" s="20" t="n"/>
      <c r="I43" s="20" t="n"/>
      <c r="J43" s="20" t="n"/>
      <c r="K43" s="20" t="n"/>
      <c r="L43" s="20" t="n"/>
      <c r="M43" s="20" t="n"/>
      <c r="N43" s="20" t="n"/>
      <c r="O43" s="20" t="n"/>
      <c r="P43" s="27">
        <f>IF(OR(I43="",G43="",LEFT(H43,9)&lt;&gt;"Incentivo",VALOR_CAPTADO=0),"",SUMIFS($G$8:$G$207,$I$8:$I$207,I43,$H$8:$H$207,"Incentivo*")/VALOR_CAPTADO)</f>
        <v/>
      </c>
      <c r="Q43" s="21">
        <f>IF(AND(B43="",G43=""),"",IF(IF(AND(B43="",G43=""),"",IF(OR(E43="",F43=""),"🟡 Falta quantidade ou valor. ","")&amp;IF(H43="","🟡 Informe a fonte. ","")&amp;IF(K43="","🟡 Classifique a categoria de limite. ","")&amp;IF(TRIM(M43)="","🔴 Sem justificativa de vínculo: se não explica, não coloque. ","")&amp;IF(N43&lt;&gt;"Sim","🟡 Preço de mercado não conferido. ","")&amp;IF(O43="Sim","🔴 Possível DUPLA COBERTURA: a mesma despesa não pode ser paga duas vezes. ","")&amp;IF(AND(L43="Sim",K43&lt;&gt;"Remuneração do proponente"),"🟡 Pessoa vinculada: este valor SOMA no limite de remuneração do proponente. ","")&amp;IF(P43="","",IF(P43&gt;L_FORNECEDOR,"🔴 Fornecedor acima do limite sobre o valor captado (confira exceções). ",IF(P43&gt;=L_FORNECEDOR*MARGEM,"🟡 Fornecedor perto do limite. ","")))&amp;IF(AND(LEFT(K43,5)="Cachê",F43&lt;&gt;""),IF(F43&gt;IFERROR(VLOOKUP(K43,TAB_CATEGORIAS,2,FALSE),9E+99),"🔴 Cachê acima do limite: só com outras fontes ou apreciação da CNIC. ",""),"")&amp;IF(AND(LEFT(H43,6)="Outras",K43&lt;&gt;""),"🟡 Outras fontes: confirme que o recurso existe e está comprometido. ",""))="","🟢 CONFERIDO",IF(AND(B43="",G43=""),"",IF(OR(E43="",F43=""),"🟡 Falta quantidade ou valor. ","")&amp;IF(H43="","🟡 Informe a fonte. ","")&amp;IF(K43="","🟡 Classifique a categoria de limite. ","")&amp;IF(TRIM(M43)="","🔴 Sem justificativa de vínculo: se não explica, não coloque. ","")&amp;IF(N43&lt;&gt;"Sim","🟡 Preço de mercado não conferido. ","")&amp;IF(O43="Sim","🔴 Possível DUPLA COBERTURA: a mesma despesa não pode ser paga duas vezes. ","")&amp;IF(AND(L43="Sim",K43&lt;&gt;"Remuneração do proponente"),"🟡 Pessoa vinculada: este valor SOMA no limite de remuneração do proponente. ","")&amp;IF(P43="","",IF(P43&gt;L_FORNECEDOR,"🔴 Fornecedor acima do limite sobre o valor captado (confira exceções). ",IF(P43&gt;=L_FORNECEDOR*MARGEM,"🟡 Fornecedor perto do limite. ","")))&amp;IF(AND(LEFT(K43,5)="Cachê",F43&lt;&gt;""),IF(F43&gt;IFERROR(VLOOKUP(K43,TAB_CATEGORIAS,2,FALSE),9E+99),"🔴 Cachê acima do limite: só com outras fontes ou apreciação da CNIC. ",""),"")&amp;IF(AND(LEFT(H43,6)="Outras",K43&lt;&gt;""),"🟡 Outras fontes: confirme que o recurso existe e está comprometido. ",""))))</f>
        <v/>
      </c>
    </row>
    <row r="44">
      <c r="A44" s="20" t="n"/>
      <c r="B44" s="20" t="n"/>
      <c r="C44" s="20" t="n"/>
      <c r="D44" s="20" t="n"/>
      <c r="E44" s="20" t="n"/>
      <c r="F44" s="17" t="n"/>
      <c r="G44" s="26">
        <f>IF(OR(E44="",F44=""),"",E44*F44)</f>
        <v/>
      </c>
      <c r="H44" s="20" t="n"/>
      <c r="I44" s="20" t="n"/>
      <c r="J44" s="20" t="n"/>
      <c r="K44" s="20" t="n"/>
      <c r="L44" s="20" t="n"/>
      <c r="M44" s="20" t="n"/>
      <c r="N44" s="20" t="n"/>
      <c r="O44" s="20" t="n"/>
      <c r="P44" s="27">
        <f>IF(OR(I44="",G44="",LEFT(H44,9)&lt;&gt;"Incentivo",VALOR_CAPTADO=0),"",SUMIFS($G$8:$G$207,$I$8:$I$207,I44,$H$8:$H$207,"Incentivo*")/VALOR_CAPTADO)</f>
        <v/>
      </c>
      <c r="Q44" s="21">
        <f>IF(AND(B44="",G44=""),"",IF(IF(AND(B44="",G44=""),"",IF(OR(E44="",F44=""),"🟡 Falta quantidade ou valor. ","")&amp;IF(H44="","🟡 Informe a fonte. ","")&amp;IF(K44="","🟡 Classifique a categoria de limite. ","")&amp;IF(TRIM(M44)="","🔴 Sem justificativa de vínculo: se não explica, não coloque. ","")&amp;IF(N44&lt;&gt;"Sim","🟡 Preço de mercado não conferido. ","")&amp;IF(O44="Sim","🔴 Possível DUPLA COBERTURA: a mesma despesa não pode ser paga duas vezes. ","")&amp;IF(AND(L44="Sim",K44&lt;&gt;"Remuneração do proponente"),"🟡 Pessoa vinculada: este valor SOMA no limite de remuneração do proponente. ","")&amp;IF(P44="","",IF(P44&gt;L_FORNECEDOR,"🔴 Fornecedor acima do limite sobre o valor captado (confira exceções). ",IF(P44&gt;=L_FORNECEDOR*MARGEM,"🟡 Fornecedor perto do limite. ","")))&amp;IF(AND(LEFT(K44,5)="Cachê",F44&lt;&gt;""),IF(F44&gt;IFERROR(VLOOKUP(K44,TAB_CATEGORIAS,2,FALSE),9E+99),"🔴 Cachê acima do limite: só com outras fontes ou apreciação da CNIC. ",""),"")&amp;IF(AND(LEFT(H44,6)="Outras",K44&lt;&gt;""),"🟡 Outras fontes: confirme que o recurso existe e está comprometido. ",""))="","🟢 CONFERIDO",IF(AND(B44="",G44=""),"",IF(OR(E44="",F44=""),"🟡 Falta quantidade ou valor. ","")&amp;IF(H44="","🟡 Informe a fonte. ","")&amp;IF(K44="","🟡 Classifique a categoria de limite. ","")&amp;IF(TRIM(M44)="","🔴 Sem justificativa de vínculo: se não explica, não coloque. ","")&amp;IF(N44&lt;&gt;"Sim","🟡 Preço de mercado não conferido. ","")&amp;IF(O44="Sim","🔴 Possível DUPLA COBERTURA: a mesma despesa não pode ser paga duas vezes. ","")&amp;IF(AND(L44="Sim",K44&lt;&gt;"Remuneração do proponente"),"🟡 Pessoa vinculada: este valor SOMA no limite de remuneração do proponente. ","")&amp;IF(P44="","",IF(P44&gt;L_FORNECEDOR,"🔴 Fornecedor acima do limite sobre o valor captado (confira exceções). ",IF(P44&gt;=L_FORNECEDOR*MARGEM,"🟡 Fornecedor perto do limite. ","")))&amp;IF(AND(LEFT(K44,5)="Cachê",F44&lt;&gt;""),IF(F44&gt;IFERROR(VLOOKUP(K44,TAB_CATEGORIAS,2,FALSE),9E+99),"🔴 Cachê acima do limite: só com outras fontes ou apreciação da CNIC. ",""),"")&amp;IF(AND(LEFT(H44,6)="Outras",K44&lt;&gt;""),"🟡 Outras fontes: confirme que o recurso existe e está comprometido. ",""))))</f>
        <v/>
      </c>
    </row>
    <row r="45">
      <c r="A45" s="20" t="n"/>
      <c r="B45" s="20" t="n"/>
      <c r="C45" s="20" t="n"/>
      <c r="D45" s="20" t="n"/>
      <c r="E45" s="20" t="n"/>
      <c r="F45" s="17" t="n"/>
      <c r="G45" s="26">
        <f>IF(OR(E45="",F45=""),"",E45*F45)</f>
        <v/>
      </c>
      <c r="H45" s="20" t="n"/>
      <c r="I45" s="20" t="n"/>
      <c r="J45" s="20" t="n"/>
      <c r="K45" s="20" t="n"/>
      <c r="L45" s="20" t="n"/>
      <c r="M45" s="20" t="n"/>
      <c r="N45" s="20" t="n"/>
      <c r="O45" s="20" t="n"/>
      <c r="P45" s="27">
        <f>IF(OR(I45="",G45="",LEFT(H45,9)&lt;&gt;"Incentivo",VALOR_CAPTADO=0),"",SUMIFS($G$8:$G$207,$I$8:$I$207,I45,$H$8:$H$207,"Incentivo*")/VALOR_CAPTADO)</f>
        <v/>
      </c>
      <c r="Q45" s="21">
        <f>IF(AND(B45="",G45=""),"",IF(IF(AND(B45="",G45=""),"",IF(OR(E45="",F45=""),"🟡 Falta quantidade ou valor. ","")&amp;IF(H45="","🟡 Informe a fonte. ","")&amp;IF(K45="","🟡 Classifique a categoria de limite. ","")&amp;IF(TRIM(M45)="","🔴 Sem justificativa de vínculo: se não explica, não coloque. ","")&amp;IF(N45&lt;&gt;"Sim","🟡 Preço de mercado não conferido. ","")&amp;IF(O45="Sim","🔴 Possível DUPLA COBERTURA: a mesma despesa não pode ser paga duas vezes. ","")&amp;IF(AND(L45="Sim",K45&lt;&gt;"Remuneração do proponente"),"🟡 Pessoa vinculada: este valor SOMA no limite de remuneração do proponente. ","")&amp;IF(P45="","",IF(P45&gt;L_FORNECEDOR,"🔴 Fornecedor acima do limite sobre o valor captado (confira exceções). ",IF(P45&gt;=L_FORNECEDOR*MARGEM,"🟡 Fornecedor perto do limite. ","")))&amp;IF(AND(LEFT(K45,5)="Cachê",F45&lt;&gt;""),IF(F45&gt;IFERROR(VLOOKUP(K45,TAB_CATEGORIAS,2,FALSE),9E+99),"🔴 Cachê acima do limite: só com outras fontes ou apreciação da CNIC. ",""),"")&amp;IF(AND(LEFT(H45,6)="Outras",K45&lt;&gt;""),"🟡 Outras fontes: confirme que o recurso existe e está comprometido. ",""))="","🟢 CONFERIDO",IF(AND(B45="",G45=""),"",IF(OR(E45="",F45=""),"🟡 Falta quantidade ou valor. ","")&amp;IF(H45="","🟡 Informe a fonte. ","")&amp;IF(K45="","🟡 Classifique a categoria de limite. ","")&amp;IF(TRIM(M45)="","🔴 Sem justificativa de vínculo: se não explica, não coloque. ","")&amp;IF(N45&lt;&gt;"Sim","🟡 Preço de mercado não conferido. ","")&amp;IF(O45="Sim","🔴 Possível DUPLA COBERTURA: a mesma despesa não pode ser paga duas vezes. ","")&amp;IF(AND(L45="Sim",K45&lt;&gt;"Remuneração do proponente"),"🟡 Pessoa vinculada: este valor SOMA no limite de remuneração do proponente. ","")&amp;IF(P45="","",IF(P45&gt;L_FORNECEDOR,"🔴 Fornecedor acima do limite sobre o valor captado (confira exceções). ",IF(P45&gt;=L_FORNECEDOR*MARGEM,"🟡 Fornecedor perto do limite. ","")))&amp;IF(AND(LEFT(K45,5)="Cachê",F45&lt;&gt;""),IF(F45&gt;IFERROR(VLOOKUP(K45,TAB_CATEGORIAS,2,FALSE),9E+99),"🔴 Cachê acima do limite: só com outras fontes ou apreciação da CNIC. ",""),"")&amp;IF(AND(LEFT(H45,6)="Outras",K45&lt;&gt;""),"🟡 Outras fontes: confirme que o recurso existe e está comprometido. ",""))))</f>
        <v/>
      </c>
    </row>
    <row r="46">
      <c r="A46" s="20" t="n"/>
      <c r="B46" s="20" t="n"/>
      <c r="C46" s="20" t="n"/>
      <c r="D46" s="20" t="n"/>
      <c r="E46" s="20" t="n"/>
      <c r="F46" s="17" t="n"/>
      <c r="G46" s="26">
        <f>IF(OR(E46="",F46=""),"",E46*F46)</f>
        <v/>
      </c>
      <c r="H46" s="20" t="n"/>
      <c r="I46" s="20" t="n"/>
      <c r="J46" s="20" t="n"/>
      <c r="K46" s="20" t="n"/>
      <c r="L46" s="20" t="n"/>
      <c r="M46" s="20" t="n"/>
      <c r="N46" s="20" t="n"/>
      <c r="O46" s="20" t="n"/>
      <c r="P46" s="27">
        <f>IF(OR(I46="",G46="",LEFT(H46,9)&lt;&gt;"Incentivo",VALOR_CAPTADO=0),"",SUMIFS($G$8:$G$207,$I$8:$I$207,I46,$H$8:$H$207,"Incentivo*")/VALOR_CAPTADO)</f>
        <v/>
      </c>
      <c r="Q46" s="21">
        <f>IF(AND(B46="",G46=""),"",IF(IF(AND(B46="",G46=""),"",IF(OR(E46="",F46=""),"🟡 Falta quantidade ou valor. ","")&amp;IF(H46="","🟡 Informe a fonte. ","")&amp;IF(K46="","🟡 Classifique a categoria de limite. ","")&amp;IF(TRIM(M46)="","🔴 Sem justificativa de vínculo: se não explica, não coloque. ","")&amp;IF(N46&lt;&gt;"Sim","🟡 Preço de mercado não conferido. ","")&amp;IF(O46="Sim","🔴 Possível DUPLA COBERTURA: a mesma despesa não pode ser paga duas vezes. ","")&amp;IF(AND(L46="Sim",K46&lt;&gt;"Remuneração do proponente"),"🟡 Pessoa vinculada: este valor SOMA no limite de remuneração do proponente. ","")&amp;IF(P46="","",IF(P46&gt;L_FORNECEDOR,"🔴 Fornecedor acima do limite sobre o valor captado (confira exceções). ",IF(P46&gt;=L_FORNECEDOR*MARGEM,"🟡 Fornecedor perto do limite. ","")))&amp;IF(AND(LEFT(K46,5)="Cachê",F46&lt;&gt;""),IF(F46&gt;IFERROR(VLOOKUP(K46,TAB_CATEGORIAS,2,FALSE),9E+99),"🔴 Cachê acima do limite: só com outras fontes ou apreciação da CNIC. ",""),"")&amp;IF(AND(LEFT(H46,6)="Outras",K46&lt;&gt;""),"🟡 Outras fontes: confirme que o recurso existe e está comprometido. ",""))="","🟢 CONFERIDO",IF(AND(B46="",G46=""),"",IF(OR(E46="",F46=""),"🟡 Falta quantidade ou valor. ","")&amp;IF(H46="","🟡 Informe a fonte. ","")&amp;IF(K46="","🟡 Classifique a categoria de limite. ","")&amp;IF(TRIM(M46)="","🔴 Sem justificativa de vínculo: se não explica, não coloque. ","")&amp;IF(N46&lt;&gt;"Sim","🟡 Preço de mercado não conferido. ","")&amp;IF(O46="Sim","🔴 Possível DUPLA COBERTURA: a mesma despesa não pode ser paga duas vezes. ","")&amp;IF(AND(L46="Sim",K46&lt;&gt;"Remuneração do proponente"),"🟡 Pessoa vinculada: este valor SOMA no limite de remuneração do proponente. ","")&amp;IF(P46="","",IF(P46&gt;L_FORNECEDOR,"🔴 Fornecedor acima do limite sobre o valor captado (confira exceções). ",IF(P46&gt;=L_FORNECEDOR*MARGEM,"🟡 Fornecedor perto do limite. ","")))&amp;IF(AND(LEFT(K46,5)="Cachê",F46&lt;&gt;""),IF(F46&gt;IFERROR(VLOOKUP(K46,TAB_CATEGORIAS,2,FALSE),9E+99),"🔴 Cachê acima do limite: só com outras fontes ou apreciação da CNIC. ",""),"")&amp;IF(AND(LEFT(H46,6)="Outras",K46&lt;&gt;""),"🟡 Outras fontes: confirme que o recurso existe e está comprometido. ",""))))</f>
        <v/>
      </c>
    </row>
    <row r="47">
      <c r="A47" s="20" t="n"/>
      <c r="B47" s="20" t="n"/>
      <c r="C47" s="20" t="n"/>
      <c r="D47" s="20" t="n"/>
      <c r="E47" s="20" t="n"/>
      <c r="F47" s="17" t="n"/>
      <c r="G47" s="26">
        <f>IF(OR(E47="",F47=""),"",E47*F47)</f>
        <v/>
      </c>
      <c r="H47" s="20" t="n"/>
      <c r="I47" s="20" t="n"/>
      <c r="J47" s="20" t="n"/>
      <c r="K47" s="20" t="n"/>
      <c r="L47" s="20" t="n"/>
      <c r="M47" s="20" t="n"/>
      <c r="N47" s="20" t="n"/>
      <c r="O47" s="20" t="n"/>
      <c r="P47" s="27">
        <f>IF(OR(I47="",G47="",LEFT(H47,9)&lt;&gt;"Incentivo",VALOR_CAPTADO=0),"",SUMIFS($G$8:$G$207,$I$8:$I$207,I47,$H$8:$H$207,"Incentivo*")/VALOR_CAPTADO)</f>
        <v/>
      </c>
      <c r="Q47" s="21">
        <f>IF(AND(B47="",G47=""),"",IF(IF(AND(B47="",G47=""),"",IF(OR(E47="",F47=""),"🟡 Falta quantidade ou valor. ","")&amp;IF(H47="","🟡 Informe a fonte. ","")&amp;IF(K47="","🟡 Classifique a categoria de limite. ","")&amp;IF(TRIM(M47)="","🔴 Sem justificativa de vínculo: se não explica, não coloque. ","")&amp;IF(N47&lt;&gt;"Sim","🟡 Preço de mercado não conferido. ","")&amp;IF(O47="Sim","🔴 Possível DUPLA COBERTURA: a mesma despesa não pode ser paga duas vezes. ","")&amp;IF(AND(L47="Sim",K47&lt;&gt;"Remuneração do proponente"),"🟡 Pessoa vinculada: este valor SOMA no limite de remuneração do proponente. ","")&amp;IF(P47="","",IF(P47&gt;L_FORNECEDOR,"🔴 Fornecedor acima do limite sobre o valor captado (confira exceções). ",IF(P47&gt;=L_FORNECEDOR*MARGEM,"🟡 Fornecedor perto do limite. ","")))&amp;IF(AND(LEFT(K47,5)="Cachê",F47&lt;&gt;""),IF(F47&gt;IFERROR(VLOOKUP(K47,TAB_CATEGORIAS,2,FALSE),9E+99),"🔴 Cachê acima do limite: só com outras fontes ou apreciação da CNIC. ",""),"")&amp;IF(AND(LEFT(H47,6)="Outras",K47&lt;&gt;""),"🟡 Outras fontes: confirme que o recurso existe e está comprometido. ",""))="","🟢 CONFERIDO",IF(AND(B47="",G47=""),"",IF(OR(E47="",F47=""),"🟡 Falta quantidade ou valor. ","")&amp;IF(H47="","🟡 Informe a fonte. ","")&amp;IF(K47="","🟡 Classifique a categoria de limite. ","")&amp;IF(TRIM(M47)="","🔴 Sem justificativa de vínculo: se não explica, não coloque. ","")&amp;IF(N47&lt;&gt;"Sim","🟡 Preço de mercado não conferido. ","")&amp;IF(O47="Sim","🔴 Possível DUPLA COBERTURA: a mesma despesa não pode ser paga duas vezes. ","")&amp;IF(AND(L47="Sim",K47&lt;&gt;"Remuneração do proponente"),"🟡 Pessoa vinculada: este valor SOMA no limite de remuneração do proponente. ","")&amp;IF(P47="","",IF(P47&gt;L_FORNECEDOR,"🔴 Fornecedor acima do limite sobre o valor captado (confira exceções). ",IF(P47&gt;=L_FORNECEDOR*MARGEM,"🟡 Fornecedor perto do limite. ","")))&amp;IF(AND(LEFT(K47,5)="Cachê",F47&lt;&gt;""),IF(F47&gt;IFERROR(VLOOKUP(K47,TAB_CATEGORIAS,2,FALSE),9E+99),"🔴 Cachê acima do limite: só com outras fontes ou apreciação da CNIC. ",""),"")&amp;IF(AND(LEFT(H47,6)="Outras",K47&lt;&gt;""),"🟡 Outras fontes: confirme que o recurso existe e está comprometido. ",""))))</f>
        <v/>
      </c>
    </row>
    <row r="48">
      <c r="A48" s="20" t="n"/>
      <c r="B48" s="20" t="n"/>
      <c r="C48" s="20" t="n"/>
      <c r="D48" s="20" t="n"/>
      <c r="E48" s="20" t="n"/>
      <c r="F48" s="17" t="n"/>
      <c r="G48" s="26">
        <f>IF(OR(E48="",F48=""),"",E48*F48)</f>
        <v/>
      </c>
      <c r="H48" s="20" t="n"/>
      <c r="I48" s="20" t="n"/>
      <c r="J48" s="20" t="n"/>
      <c r="K48" s="20" t="n"/>
      <c r="L48" s="20" t="n"/>
      <c r="M48" s="20" t="n"/>
      <c r="N48" s="20" t="n"/>
      <c r="O48" s="20" t="n"/>
      <c r="P48" s="27">
        <f>IF(OR(I48="",G48="",LEFT(H48,9)&lt;&gt;"Incentivo",VALOR_CAPTADO=0),"",SUMIFS($G$8:$G$207,$I$8:$I$207,I48,$H$8:$H$207,"Incentivo*")/VALOR_CAPTADO)</f>
        <v/>
      </c>
      <c r="Q48" s="21">
        <f>IF(AND(B48="",G48=""),"",IF(IF(AND(B48="",G48=""),"",IF(OR(E48="",F48=""),"🟡 Falta quantidade ou valor. ","")&amp;IF(H48="","🟡 Informe a fonte. ","")&amp;IF(K48="","🟡 Classifique a categoria de limite. ","")&amp;IF(TRIM(M48)="","🔴 Sem justificativa de vínculo: se não explica, não coloque. ","")&amp;IF(N48&lt;&gt;"Sim","🟡 Preço de mercado não conferido. ","")&amp;IF(O48="Sim","🔴 Possível DUPLA COBERTURA: a mesma despesa não pode ser paga duas vezes. ","")&amp;IF(AND(L48="Sim",K48&lt;&gt;"Remuneração do proponente"),"🟡 Pessoa vinculada: este valor SOMA no limite de remuneração do proponente. ","")&amp;IF(P48="","",IF(P48&gt;L_FORNECEDOR,"🔴 Fornecedor acima do limite sobre o valor captado (confira exceções). ",IF(P48&gt;=L_FORNECEDOR*MARGEM,"🟡 Fornecedor perto do limite. ","")))&amp;IF(AND(LEFT(K48,5)="Cachê",F48&lt;&gt;""),IF(F48&gt;IFERROR(VLOOKUP(K48,TAB_CATEGORIAS,2,FALSE),9E+99),"🔴 Cachê acima do limite: só com outras fontes ou apreciação da CNIC. ",""),"")&amp;IF(AND(LEFT(H48,6)="Outras",K48&lt;&gt;""),"🟡 Outras fontes: confirme que o recurso existe e está comprometido. ",""))="","🟢 CONFERIDO",IF(AND(B48="",G48=""),"",IF(OR(E48="",F48=""),"🟡 Falta quantidade ou valor. ","")&amp;IF(H48="","🟡 Informe a fonte. ","")&amp;IF(K48="","🟡 Classifique a categoria de limite. ","")&amp;IF(TRIM(M48)="","🔴 Sem justificativa de vínculo: se não explica, não coloque. ","")&amp;IF(N48&lt;&gt;"Sim","🟡 Preço de mercado não conferido. ","")&amp;IF(O48="Sim","🔴 Possível DUPLA COBERTURA: a mesma despesa não pode ser paga duas vezes. ","")&amp;IF(AND(L48="Sim",K48&lt;&gt;"Remuneração do proponente"),"🟡 Pessoa vinculada: este valor SOMA no limite de remuneração do proponente. ","")&amp;IF(P48="","",IF(P48&gt;L_FORNECEDOR,"🔴 Fornecedor acima do limite sobre o valor captado (confira exceções). ",IF(P48&gt;=L_FORNECEDOR*MARGEM,"🟡 Fornecedor perto do limite. ","")))&amp;IF(AND(LEFT(K48,5)="Cachê",F48&lt;&gt;""),IF(F48&gt;IFERROR(VLOOKUP(K48,TAB_CATEGORIAS,2,FALSE),9E+99),"🔴 Cachê acima do limite: só com outras fontes ou apreciação da CNIC. ",""),"")&amp;IF(AND(LEFT(H48,6)="Outras",K48&lt;&gt;""),"🟡 Outras fontes: confirme que o recurso existe e está comprometido. ",""))))</f>
        <v/>
      </c>
    </row>
    <row r="49">
      <c r="A49" s="20" t="n"/>
      <c r="B49" s="20" t="n"/>
      <c r="C49" s="20" t="n"/>
      <c r="D49" s="20" t="n"/>
      <c r="E49" s="20" t="n"/>
      <c r="F49" s="17" t="n"/>
      <c r="G49" s="26">
        <f>IF(OR(E49="",F49=""),"",E49*F49)</f>
        <v/>
      </c>
      <c r="H49" s="20" t="n"/>
      <c r="I49" s="20" t="n"/>
      <c r="J49" s="20" t="n"/>
      <c r="K49" s="20" t="n"/>
      <c r="L49" s="20" t="n"/>
      <c r="M49" s="20" t="n"/>
      <c r="N49" s="20" t="n"/>
      <c r="O49" s="20" t="n"/>
      <c r="P49" s="27">
        <f>IF(OR(I49="",G49="",LEFT(H49,9)&lt;&gt;"Incentivo",VALOR_CAPTADO=0),"",SUMIFS($G$8:$G$207,$I$8:$I$207,I49,$H$8:$H$207,"Incentivo*")/VALOR_CAPTADO)</f>
        <v/>
      </c>
      <c r="Q49" s="21">
        <f>IF(AND(B49="",G49=""),"",IF(IF(AND(B49="",G49=""),"",IF(OR(E49="",F49=""),"🟡 Falta quantidade ou valor. ","")&amp;IF(H49="","🟡 Informe a fonte. ","")&amp;IF(K49="","🟡 Classifique a categoria de limite. ","")&amp;IF(TRIM(M49)="","🔴 Sem justificativa de vínculo: se não explica, não coloque. ","")&amp;IF(N49&lt;&gt;"Sim","🟡 Preço de mercado não conferido. ","")&amp;IF(O49="Sim","🔴 Possível DUPLA COBERTURA: a mesma despesa não pode ser paga duas vezes. ","")&amp;IF(AND(L49="Sim",K49&lt;&gt;"Remuneração do proponente"),"🟡 Pessoa vinculada: este valor SOMA no limite de remuneração do proponente. ","")&amp;IF(P49="","",IF(P49&gt;L_FORNECEDOR,"🔴 Fornecedor acima do limite sobre o valor captado (confira exceções). ",IF(P49&gt;=L_FORNECEDOR*MARGEM,"🟡 Fornecedor perto do limite. ","")))&amp;IF(AND(LEFT(K49,5)="Cachê",F49&lt;&gt;""),IF(F49&gt;IFERROR(VLOOKUP(K49,TAB_CATEGORIAS,2,FALSE),9E+99),"🔴 Cachê acima do limite: só com outras fontes ou apreciação da CNIC. ",""),"")&amp;IF(AND(LEFT(H49,6)="Outras",K49&lt;&gt;""),"🟡 Outras fontes: confirme que o recurso existe e está comprometido. ",""))="","🟢 CONFERIDO",IF(AND(B49="",G49=""),"",IF(OR(E49="",F49=""),"🟡 Falta quantidade ou valor. ","")&amp;IF(H49="","🟡 Informe a fonte. ","")&amp;IF(K49="","🟡 Classifique a categoria de limite. ","")&amp;IF(TRIM(M49)="","🔴 Sem justificativa de vínculo: se não explica, não coloque. ","")&amp;IF(N49&lt;&gt;"Sim","🟡 Preço de mercado não conferido. ","")&amp;IF(O49="Sim","🔴 Possível DUPLA COBERTURA: a mesma despesa não pode ser paga duas vezes. ","")&amp;IF(AND(L49="Sim",K49&lt;&gt;"Remuneração do proponente"),"🟡 Pessoa vinculada: este valor SOMA no limite de remuneração do proponente. ","")&amp;IF(P49="","",IF(P49&gt;L_FORNECEDOR,"🔴 Fornecedor acima do limite sobre o valor captado (confira exceções). ",IF(P49&gt;=L_FORNECEDOR*MARGEM,"🟡 Fornecedor perto do limite. ","")))&amp;IF(AND(LEFT(K49,5)="Cachê",F49&lt;&gt;""),IF(F49&gt;IFERROR(VLOOKUP(K49,TAB_CATEGORIAS,2,FALSE),9E+99),"🔴 Cachê acima do limite: só com outras fontes ou apreciação da CNIC. ",""),"")&amp;IF(AND(LEFT(H49,6)="Outras",K49&lt;&gt;""),"🟡 Outras fontes: confirme que o recurso existe e está comprometido. ",""))))</f>
        <v/>
      </c>
    </row>
    <row r="50">
      <c r="A50" s="20" t="n"/>
      <c r="B50" s="20" t="n"/>
      <c r="C50" s="20" t="n"/>
      <c r="D50" s="20" t="n"/>
      <c r="E50" s="20" t="n"/>
      <c r="F50" s="17" t="n"/>
      <c r="G50" s="26">
        <f>IF(OR(E50="",F50=""),"",E50*F50)</f>
        <v/>
      </c>
      <c r="H50" s="20" t="n"/>
      <c r="I50" s="20" t="n"/>
      <c r="J50" s="20" t="n"/>
      <c r="K50" s="20" t="n"/>
      <c r="L50" s="20" t="n"/>
      <c r="M50" s="20" t="n"/>
      <c r="N50" s="20" t="n"/>
      <c r="O50" s="20" t="n"/>
      <c r="P50" s="27">
        <f>IF(OR(I50="",G50="",LEFT(H50,9)&lt;&gt;"Incentivo",VALOR_CAPTADO=0),"",SUMIFS($G$8:$G$207,$I$8:$I$207,I50,$H$8:$H$207,"Incentivo*")/VALOR_CAPTADO)</f>
        <v/>
      </c>
      <c r="Q50" s="21">
        <f>IF(AND(B50="",G50=""),"",IF(IF(AND(B50="",G50=""),"",IF(OR(E50="",F50=""),"🟡 Falta quantidade ou valor. ","")&amp;IF(H50="","🟡 Informe a fonte. ","")&amp;IF(K50="","🟡 Classifique a categoria de limite. ","")&amp;IF(TRIM(M50)="","🔴 Sem justificativa de vínculo: se não explica, não coloque. ","")&amp;IF(N50&lt;&gt;"Sim","🟡 Preço de mercado não conferido. ","")&amp;IF(O50="Sim","🔴 Possível DUPLA COBERTURA: a mesma despesa não pode ser paga duas vezes. ","")&amp;IF(AND(L50="Sim",K50&lt;&gt;"Remuneração do proponente"),"🟡 Pessoa vinculada: este valor SOMA no limite de remuneração do proponente. ","")&amp;IF(P50="","",IF(P50&gt;L_FORNECEDOR,"🔴 Fornecedor acima do limite sobre o valor captado (confira exceções). ",IF(P50&gt;=L_FORNECEDOR*MARGEM,"🟡 Fornecedor perto do limite. ","")))&amp;IF(AND(LEFT(K50,5)="Cachê",F50&lt;&gt;""),IF(F50&gt;IFERROR(VLOOKUP(K50,TAB_CATEGORIAS,2,FALSE),9E+99),"🔴 Cachê acima do limite: só com outras fontes ou apreciação da CNIC. ",""),"")&amp;IF(AND(LEFT(H50,6)="Outras",K50&lt;&gt;""),"🟡 Outras fontes: confirme que o recurso existe e está comprometido. ",""))="","🟢 CONFERIDO",IF(AND(B50="",G50=""),"",IF(OR(E50="",F50=""),"🟡 Falta quantidade ou valor. ","")&amp;IF(H50="","🟡 Informe a fonte. ","")&amp;IF(K50="","🟡 Classifique a categoria de limite. ","")&amp;IF(TRIM(M50)="","🔴 Sem justificativa de vínculo: se não explica, não coloque. ","")&amp;IF(N50&lt;&gt;"Sim","🟡 Preço de mercado não conferido. ","")&amp;IF(O50="Sim","🔴 Possível DUPLA COBERTURA: a mesma despesa não pode ser paga duas vezes. ","")&amp;IF(AND(L50="Sim",K50&lt;&gt;"Remuneração do proponente"),"🟡 Pessoa vinculada: este valor SOMA no limite de remuneração do proponente. ","")&amp;IF(P50="","",IF(P50&gt;L_FORNECEDOR,"🔴 Fornecedor acima do limite sobre o valor captado (confira exceções). ",IF(P50&gt;=L_FORNECEDOR*MARGEM,"🟡 Fornecedor perto do limite. ","")))&amp;IF(AND(LEFT(K50,5)="Cachê",F50&lt;&gt;""),IF(F50&gt;IFERROR(VLOOKUP(K50,TAB_CATEGORIAS,2,FALSE),9E+99),"🔴 Cachê acima do limite: só com outras fontes ou apreciação da CNIC. ",""),"")&amp;IF(AND(LEFT(H50,6)="Outras",K50&lt;&gt;""),"🟡 Outras fontes: confirme que o recurso existe e está comprometido. ",""))))</f>
        <v/>
      </c>
    </row>
    <row r="51">
      <c r="A51" s="20" t="n"/>
      <c r="B51" s="20" t="n"/>
      <c r="C51" s="20" t="n"/>
      <c r="D51" s="20" t="n"/>
      <c r="E51" s="20" t="n"/>
      <c r="F51" s="17" t="n"/>
      <c r="G51" s="26">
        <f>IF(OR(E51="",F51=""),"",E51*F51)</f>
        <v/>
      </c>
      <c r="H51" s="20" t="n"/>
      <c r="I51" s="20" t="n"/>
      <c r="J51" s="20" t="n"/>
      <c r="K51" s="20" t="n"/>
      <c r="L51" s="20" t="n"/>
      <c r="M51" s="20" t="n"/>
      <c r="N51" s="20" t="n"/>
      <c r="O51" s="20" t="n"/>
      <c r="P51" s="27">
        <f>IF(OR(I51="",G51="",LEFT(H51,9)&lt;&gt;"Incentivo",VALOR_CAPTADO=0),"",SUMIFS($G$8:$G$207,$I$8:$I$207,I51,$H$8:$H$207,"Incentivo*")/VALOR_CAPTADO)</f>
        <v/>
      </c>
      <c r="Q51" s="21">
        <f>IF(AND(B51="",G51=""),"",IF(IF(AND(B51="",G51=""),"",IF(OR(E51="",F51=""),"🟡 Falta quantidade ou valor. ","")&amp;IF(H51="","🟡 Informe a fonte. ","")&amp;IF(K51="","🟡 Classifique a categoria de limite. ","")&amp;IF(TRIM(M51)="","🔴 Sem justificativa de vínculo: se não explica, não coloque. ","")&amp;IF(N51&lt;&gt;"Sim","🟡 Preço de mercado não conferido. ","")&amp;IF(O51="Sim","🔴 Possível DUPLA COBERTURA: a mesma despesa não pode ser paga duas vezes. ","")&amp;IF(AND(L51="Sim",K51&lt;&gt;"Remuneração do proponente"),"🟡 Pessoa vinculada: este valor SOMA no limite de remuneração do proponente. ","")&amp;IF(P51="","",IF(P51&gt;L_FORNECEDOR,"🔴 Fornecedor acima do limite sobre o valor captado (confira exceções). ",IF(P51&gt;=L_FORNECEDOR*MARGEM,"🟡 Fornecedor perto do limite. ","")))&amp;IF(AND(LEFT(K51,5)="Cachê",F51&lt;&gt;""),IF(F51&gt;IFERROR(VLOOKUP(K51,TAB_CATEGORIAS,2,FALSE),9E+99),"🔴 Cachê acima do limite: só com outras fontes ou apreciação da CNIC. ",""),"")&amp;IF(AND(LEFT(H51,6)="Outras",K51&lt;&gt;""),"🟡 Outras fontes: confirme que o recurso existe e está comprometido. ",""))="","🟢 CONFERIDO",IF(AND(B51="",G51=""),"",IF(OR(E51="",F51=""),"🟡 Falta quantidade ou valor. ","")&amp;IF(H51="","🟡 Informe a fonte. ","")&amp;IF(K51="","🟡 Classifique a categoria de limite. ","")&amp;IF(TRIM(M51)="","🔴 Sem justificativa de vínculo: se não explica, não coloque. ","")&amp;IF(N51&lt;&gt;"Sim","🟡 Preço de mercado não conferido. ","")&amp;IF(O51="Sim","🔴 Possível DUPLA COBERTURA: a mesma despesa não pode ser paga duas vezes. ","")&amp;IF(AND(L51="Sim",K51&lt;&gt;"Remuneração do proponente"),"🟡 Pessoa vinculada: este valor SOMA no limite de remuneração do proponente. ","")&amp;IF(P51="","",IF(P51&gt;L_FORNECEDOR,"🔴 Fornecedor acima do limite sobre o valor captado (confira exceções). ",IF(P51&gt;=L_FORNECEDOR*MARGEM,"🟡 Fornecedor perto do limite. ","")))&amp;IF(AND(LEFT(K51,5)="Cachê",F51&lt;&gt;""),IF(F51&gt;IFERROR(VLOOKUP(K51,TAB_CATEGORIAS,2,FALSE),9E+99),"🔴 Cachê acima do limite: só com outras fontes ou apreciação da CNIC. ",""),"")&amp;IF(AND(LEFT(H51,6)="Outras",K51&lt;&gt;""),"🟡 Outras fontes: confirme que o recurso existe e está comprometido. ",""))))</f>
        <v/>
      </c>
    </row>
    <row r="52">
      <c r="A52" s="20" t="n"/>
      <c r="B52" s="20" t="n"/>
      <c r="C52" s="20" t="n"/>
      <c r="D52" s="20" t="n"/>
      <c r="E52" s="20" t="n"/>
      <c r="F52" s="17" t="n"/>
      <c r="G52" s="26">
        <f>IF(OR(E52="",F52=""),"",E52*F52)</f>
        <v/>
      </c>
      <c r="H52" s="20" t="n"/>
      <c r="I52" s="20" t="n"/>
      <c r="J52" s="20" t="n"/>
      <c r="K52" s="20" t="n"/>
      <c r="L52" s="20" t="n"/>
      <c r="M52" s="20" t="n"/>
      <c r="N52" s="20" t="n"/>
      <c r="O52" s="20" t="n"/>
      <c r="P52" s="27">
        <f>IF(OR(I52="",G52="",LEFT(H52,9)&lt;&gt;"Incentivo",VALOR_CAPTADO=0),"",SUMIFS($G$8:$G$207,$I$8:$I$207,I52,$H$8:$H$207,"Incentivo*")/VALOR_CAPTADO)</f>
        <v/>
      </c>
      <c r="Q52" s="21">
        <f>IF(AND(B52="",G52=""),"",IF(IF(AND(B52="",G52=""),"",IF(OR(E52="",F52=""),"🟡 Falta quantidade ou valor. ","")&amp;IF(H52="","🟡 Informe a fonte. ","")&amp;IF(K52="","🟡 Classifique a categoria de limite. ","")&amp;IF(TRIM(M52)="","🔴 Sem justificativa de vínculo: se não explica, não coloque. ","")&amp;IF(N52&lt;&gt;"Sim","🟡 Preço de mercado não conferido. ","")&amp;IF(O52="Sim","🔴 Possível DUPLA COBERTURA: a mesma despesa não pode ser paga duas vezes. ","")&amp;IF(AND(L52="Sim",K52&lt;&gt;"Remuneração do proponente"),"🟡 Pessoa vinculada: este valor SOMA no limite de remuneração do proponente. ","")&amp;IF(P52="","",IF(P52&gt;L_FORNECEDOR,"🔴 Fornecedor acima do limite sobre o valor captado (confira exceções). ",IF(P52&gt;=L_FORNECEDOR*MARGEM,"🟡 Fornecedor perto do limite. ","")))&amp;IF(AND(LEFT(K52,5)="Cachê",F52&lt;&gt;""),IF(F52&gt;IFERROR(VLOOKUP(K52,TAB_CATEGORIAS,2,FALSE),9E+99),"🔴 Cachê acima do limite: só com outras fontes ou apreciação da CNIC. ",""),"")&amp;IF(AND(LEFT(H52,6)="Outras",K52&lt;&gt;""),"🟡 Outras fontes: confirme que o recurso existe e está comprometido. ",""))="","🟢 CONFERIDO",IF(AND(B52="",G52=""),"",IF(OR(E52="",F52=""),"🟡 Falta quantidade ou valor. ","")&amp;IF(H52="","🟡 Informe a fonte. ","")&amp;IF(K52="","🟡 Classifique a categoria de limite. ","")&amp;IF(TRIM(M52)="","🔴 Sem justificativa de vínculo: se não explica, não coloque. ","")&amp;IF(N52&lt;&gt;"Sim","🟡 Preço de mercado não conferido. ","")&amp;IF(O52="Sim","🔴 Possível DUPLA COBERTURA: a mesma despesa não pode ser paga duas vezes. ","")&amp;IF(AND(L52="Sim",K52&lt;&gt;"Remuneração do proponente"),"🟡 Pessoa vinculada: este valor SOMA no limite de remuneração do proponente. ","")&amp;IF(P52="","",IF(P52&gt;L_FORNECEDOR,"🔴 Fornecedor acima do limite sobre o valor captado (confira exceções). ",IF(P52&gt;=L_FORNECEDOR*MARGEM,"🟡 Fornecedor perto do limite. ","")))&amp;IF(AND(LEFT(K52,5)="Cachê",F52&lt;&gt;""),IF(F52&gt;IFERROR(VLOOKUP(K52,TAB_CATEGORIAS,2,FALSE),9E+99),"🔴 Cachê acima do limite: só com outras fontes ou apreciação da CNIC. ",""),"")&amp;IF(AND(LEFT(H52,6)="Outras",K52&lt;&gt;""),"🟡 Outras fontes: confirme que o recurso existe e está comprometido. ",""))))</f>
        <v/>
      </c>
    </row>
    <row r="53">
      <c r="A53" s="20" t="n"/>
      <c r="B53" s="20" t="n"/>
      <c r="C53" s="20" t="n"/>
      <c r="D53" s="20" t="n"/>
      <c r="E53" s="20" t="n"/>
      <c r="F53" s="17" t="n"/>
      <c r="G53" s="26">
        <f>IF(OR(E53="",F53=""),"",E53*F53)</f>
        <v/>
      </c>
      <c r="H53" s="20" t="n"/>
      <c r="I53" s="20" t="n"/>
      <c r="J53" s="20" t="n"/>
      <c r="K53" s="20" t="n"/>
      <c r="L53" s="20" t="n"/>
      <c r="M53" s="20" t="n"/>
      <c r="N53" s="20" t="n"/>
      <c r="O53" s="20" t="n"/>
      <c r="P53" s="27">
        <f>IF(OR(I53="",G53="",LEFT(H53,9)&lt;&gt;"Incentivo",VALOR_CAPTADO=0),"",SUMIFS($G$8:$G$207,$I$8:$I$207,I53,$H$8:$H$207,"Incentivo*")/VALOR_CAPTADO)</f>
        <v/>
      </c>
      <c r="Q53" s="21">
        <f>IF(AND(B53="",G53=""),"",IF(IF(AND(B53="",G53=""),"",IF(OR(E53="",F53=""),"🟡 Falta quantidade ou valor. ","")&amp;IF(H53="","🟡 Informe a fonte. ","")&amp;IF(K53="","🟡 Classifique a categoria de limite. ","")&amp;IF(TRIM(M53)="","🔴 Sem justificativa de vínculo: se não explica, não coloque. ","")&amp;IF(N53&lt;&gt;"Sim","🟡 Preço de mercado não conferido. ","")&amp;IF(O53="Sim","🔴 Possível DUPLA COBERTURA: a mesma despesa não pode ser paga duas vezes. ","")&amp;IF(AND(L53="Sim",K53&lt;&gt;"Remuneração do proponente"),"🟡 Pessoa vinculada: este valor SOMA no limite de remuneração do proponente. ","")&amp;IF(P53="","",IF(P53&gt;L_FORNECEDOR,"🔴 Fornecedor acima do limite sobre o valor captado (confira exceções). ",IF(P53&gt;=L_FORNECEDOR*MARGEM,"🟡 Fornecedor perto do limite. ","")))&amp;IF(AND(LEFT(K53,5)="Cachê",F53&lt;&gt;""),IF(F53&gt;IFERROR(VLOOKUP(K53,TAB_CATEGORIAS,2,FALSE),9E+99),"🔴 Cachê acima do limite: só com outras fontes ou apreciação da CNIC. ",""),"")&amp;IF(AND(LEFT(H53,6)="Outras",K53&lt;&gt;""),"🟡 Outras fontes: confirme que o recurso existe e está comprometido. ",""))="","🟢 CONFERIDO",IF(AND(B53="",G53=""),"",IF(OR(E53="",F53=""),"🟡 Falta quantidade ou valor. ","")&amp;IF(H53="","🟡 Informe a fonte. ","")&amp;IF(K53="","🟡 Classifique a categoria de limite. ","")&amp;IF(TRIM(M53)="","🔴 Sem justificativa de vínculo: se não explica, não coloque. ","")&amp;IF(N53&lt;&gt;"Sim","🟡 Preço de mercado não conferido. ","")&amp;IF(O53="Sim","🔴 Possível DUPLA COBERTURA: a mesma despesa não pode ser paga duas vezes. ","")&amp;IF(AND(L53="Sim",K53&lt;&gt;"Remuneração do proponente"),"🟡 Pessoa vinculada: este valor SOMA no limite de remuneração do proponente. ","")&amp;IF(P53="","",IF(P53&gt;L_FORNECEDOR,"🔴 Fornecedor acima do limite sobre o valor captado (confira exceções). ",IF(P53&gt;=L_FORNECEDOR*MARGEM,"🟡 Fornecedor perto do limite. ","")))&amp;IF(AND(LEFT(K53,5)="Cachê",F53&lt;&gt;""),IF(F53&gt;IFERROR(VLOOKUP(K53,TAB_CATEGORIAS,2,FALSE),9E+99),"🔴 Cachê acima do limite: só com outras fontes ou apreciação da CNIC. ",""),"")&amp;IF(AND(LEFT(H53,6)="Outras",K53&lt;&gt;""),"🟡 Outras fontes: confirme que o recurso existe e está comprometido. ",""))))</f>
        <v/>
      </c>
    </row>
    <row r="54">
      <c r="A54" s="20" t="n"/>
      <c r="B54" s="20" t="n"/>
      <c r="C54" s="20" t="n"/>
      <c r="D54" s="20" t="n"/>
      <c r="E54" s="20" t="n"/>
      <c r="F54" s="17" t="n"/>
      <c r="G54" s="26">
        <f>IF(OR(E54="",F54=""),"",E54*F54)</f>
        <v/>
      </c>
      <c r="H54" s="20" t="n"/>
      <c r="I54" s="20" t="n"/>
      <c r="J54" s="20" t="n"/>
      <c r="K54" s="20" t="n"/>
      <c r="L54" s="20" t="n"/>
      <c r="M54" s="20" t="n"/>
      <c r="N54" s="20" t="n"/>
      <c r="O54" s="20" t="n"/>
      <c r="P54" s="27">
        <f>IF(OR(I54="",G54="",LEFT(H54,9)&lt;&gt;"Incentivo",VALOR_CAPTADO=0),"",SUMIFS($G$8:$G$207,$I$8:$I$207,I54,$H$8:$H$207,"Incentivo*")/VALOR_CAPTADO)</f>
        <v/>
      </c>
      <c r="Q54" s="21">
        <f>IF(AND(B54="",G54=""),"",IF(IF(AND(B54="",G54=""),"",IF(OR(E54="",F54=""),"🟡 Falta quantidade ou valor. ","")&amp;IF(H54="","🟡 Informe a fonte. ","")&amp;IF(K54="","🟡 Classifique a categoria de limite. ","")&amp;IF(TRIM(M54)="","🔴 Sem justificativa de vínculo: se não explica, não coloque. ","")&amp;IF(N54&lt;&gt;"Sim","🟡 Preço de mercado não conferido. ","")&amp;IF(O54="Sim","🔴 Possível DUPLA COBERTURA: a mesma despesa não pode ser paga duas vezes. ","")&amp;IF(AND(L54="Sim",K54&lt;&gt;"Remuneração do proponente"),"🟡 Pessoa vinculada: este valor SOMA no limite de remuneração do proponente. ","")&amp;IF(P54="","",IF(P54&gt;L_FORNECEDOR,"🔴 Fornecedor acima do limite sobre o valor captado (confira exceções). ",IF(P54&gt;=L_FORNECEDOR*MARGEM,"🟡 Fornecedor perto do limite. ","")))&amp;IF(AND(LEFT(K54,5)="Cachê",F54&lt;&gt;""),IF(F54&gt;IFERROR(VLOOKUP(K54,TAB_CATEGORIAS,2,FALSE),9E+99),"🔴 Cachê acima do limite: só com outras fontes ou apreciação da CNIC. ",""),"")&amp;IF(AND(LEFT(H54,6)="Outras",K54&lt;&gt;""),"🟡 Outras fontes: confirme que o recurso existe e está comprometido. ",""))="","🟢 CONFERIDO",IF(AND(B54="",G54=""),"",IF(OR(E54="",F54=""),"🟡 Falta quantidade ou valor. ","")&amp;IF(H54="","🟡 Informe a fonte. ","")&amp;IF(K54="","🟡 Classifique a categoria de limite. ","")&amp;IF(TRIM(M54)="","🔴 Sem justificativa de vínculo: se não explica, não coloque. ","")&amp;IF(N54&lt;&gt;"Sim","🟡 Preço de mercado não conferido. ","")&amp;IF(O54="Sim","🔴 Possível DUPLA COBERTURA: a mesma despesa não pode ser paga duas vezes. ","")&amp;IF(AND(L54="Sim",K54&lt;&gt;"Remuneração do proponente"),"🟡 Pessoa vinculada: este valor SOMA no limite de remuneração do proponente. ","")&amp;IF(P54="","",IF(P54&gt;L_FORNECEDOR,"🔴 Fornecedor acima do limite sobre o valor captado (confira exceções). ",IF(P54&gt;=L_FORNECEDOR*MARGEM,"🟡 Fornecedor perto do limite. ","")))&amp;IF(AND(LEFT(K54,5)="Cachê",F54&lt;&gt;""),IF(F54&gt;IFERROR(VLOOKUP(K54,TAB_CATEGORIAS,2,FALSE),9E+99),"🔴 Cachê acima do limite: só com outras fontes ou apreciação da CNIC. ",""),"")&amp;IF(AND(LEFT(H54,6)="Outras",K54&lt;&gt;""),"🟡 Outras fontes: confirme que o recurso existe e está comprometido. ",""))))</f>
        <v/>
      </c>
    </row>
    <row r="55">
      <c r="A55" s="20" t="n"/>
      <c r="B55" s="20" t="n"/>
      <c r="C55" s="20" t="n"/>
      <c r="D55" s="20" t="n"/>
      <c r="E55" s="20" t="n"/>
      <c r="F55" s="17" t="n"/>
      <c r="G55" s="26">
        <f>IF(OR(E55="",F55=""),"",E55*F55)</f>
        <v/>
      </c>
      <c r="H55" s="20" t="n"/>
      <c r="I55" s="20" t="n"/>
      <c r="J55" s="20" t="n"/>
      <c r="K55" s="20" t="n"/>
      <c r="L55" s="20" t="n"/>
      <c r="M55" s="20" t="n"/>
      <c r="N55" s="20" t="n"/>
      <c r="O55" s="20" t="n"/>
      <c r="P55" s="27">
        <f>IF(OR(I55="",G55="",LEFT(H55,9)&lt;&gt;"Incentivo",VALOR_CAPTADO=0),"",SUMIFS($G$8:$G$207,$I$8:$I$207,I55,$H$8:$H$207,"Incentivo*")/VALOR_CAPTADO)</f>
        <v/>
      </c>
      <c r="Q55" s="21">
        <f>IF(AND(B55="",G55=""),"",IF(IF(AND(B55="",G55=""),"",IF(OR(E55="",F55=""),"🟡 Falta quantidade ou valor. ","")&amp;IF(H55="","🟡 Informe a fonte. ","")&amp;IF(K55="","🟡 Classifique a categoria de limite. ","")&amp;IF(TRIM(M55)="","🔴 Sem justificativa de vínculo: se não explica, não coloque. ","")&amp;IF(N55&lt;&gt;"Sim","🟡 Preço de mercado não conferido. ","")&amp;IF(O55="Sim","🔴 Possível DUPLA COBERTURA: a mesma despesa não pode ser paga duas vezes. ","")&amp;IF(AND(L55="Sim",K55&lt;&gt;"Remuneração do proponente"),"🟡 Pessoa vinculada: este valor SOMA no limite de remuneração do proponente. ","")&amp;IF(P55="","",IF(P55&gt;L_FORNECEDOR,"🔴 Fornecedor acima do limite sobre o valor captado (confira exceções). ",IF(P55&gt;=L_FORNECEDOR*MARGEM,"🟡 Fornecedor perto do limite. ","")))&amp;IF(AND(LEFT(K55,5)="Cachê",F55&lt;&gt;""),IF(F55&gt;IFERROR(VLOOKUP(K55,TAB_CATEGORIAS,2,FALSE),9E+99),"🔴 Cachê acima do limite: só com outras fontes ou apreciação da CNIC. ",""),"")&amp;IF(AND(LEFT(H55,6)="Outras",K55&lt;&gt;""),"🟡 Outras fontes: confirme que o recurso existe e está comprometido. ",""))="","🟢 CONFERIDO",IF(AND(B55="",G55=""),"",IF(OR(E55="",F55=""),"🟡 Falta quantidade ou valor. ","")&amp;IF(H55="","🟡 Informe a fonte. ","")&amp;IF(K55="","🟡 Classifique a categoria de limite. ","")&amp;IF(TRIM(M55)="","🔴 Sem justificativa de vínculo: se não explica, não coloque. ","")&amp;IF(N55&lt;&gt;"Sim","🟡 Preço de mercado não conferido. ","")&amp;IF(O55="Sim","🔴 Possível DUPLA COBERTURA: a mesma despesa não pode ser paga duas vezes. ","")&amp;IF(AND(L55="Sim",K55&lt;&gt;"Remuneração do proponente"),"🟡 Pessoa vinculada: este valor SOMA no limite de remuneração do proponente. ","")&amp;IF(P55="","",IF(P55&gt;L_FORNECEDOR,"🔴 Fornecedor acima do limite sobre o valor captado (confira exceções). ",IF(P55&gt;=L_FORNECEDOR*MARGEM,"🟡 Fornecedor perto do limite. ","")))&amp;IF(AND(LEFT(K55,5)="Cachê",F55&lt;&gt;""),IF(F55&gt;IFERROR(VLOOKUP(K55,TAB_CATEGORIAS,2,FALSE),9E+99),"🔴 Cachê acima do limite: só com outras fontes ou apreciação da CNIC. ",""),"")&amp;IF(AND(LEFT(H55,6)="Outras",K55&lt;&gt;""),"🟡 Outras fontes: confirme que o recurso existe e está comprometido. ",""))))</f>
        <v/>
      </c>
    </row>
    <row r="56">
      <c r="A56" s="20" t="n"/>
      <c r="B56" s="20" t="n"/>
      <c r="C56" s="20" t="n"/>
      <c r="D56" s="20" t="n"/>
      <c r="E56" s="20" t="n"/>
      <c r="F56" s="17" t="n"/>
      <c r="G56" s="26">
        <f>IF(OR(E56="",F56=""),"",E56*F56)</f>
        <v/>
      </c>
      <c r="H56" s="20" t="n"/>
      <c r="I56" s="20" t="n"/>
      <c r="J56" s="20" t="n"/>
      <c r="K56" s="20" t="n"/>
      <c r="L56" s="20" t="n"/>
      <c r="M56" s="20" t="n"/>
      <c r="N56" s="20" t="n"/>
      <c r="O56" s="20" t="n"/>
      <c r="P56" s="27">
        <f>IF(OR(I56="",G56="",LEFT(H56,9)&lt;&gt;"Incentivo",VALOR_CAPTADO=0),"",SUMIFS($G$8:$G$207,$I$8:$I$207,I56,$H$8:$H$207,"Incentivo*")/VALOR_CAPTADO)</f>
        <v/>
      </c>
      <c r="Q56" s="21">
        <f>IF(AND(B56="",G56=""),"",IF(IF(AND(B56="",G56=""),"",IF(OR(E56="",F56=""),"🟡 Falta quantidade ou valor. ","")&amp;IF(H56="","🟡 Informe a fonte. ","")&amp;IF(K56="","🟡 Classifique a categoria de limite. ","")&amp;IF(TRIM(M56)="","🔴 Sem justificativa de vínculo: se não explica, não coloque. ","")&amp;IF(N56&lt;&gt;"Sim","🟡 Preço de mercado não conferido. ","")&amp;IF(O56="Sim","🔴 Possível DUPLA COBERTURA: a mesma despesa não pode ser paga duas vezes. ","")&amp;IF(AND(L56="Sim",K56&lt;&gt;"Remuneração do proponente"),"🟡 Pessoa vinculada: este valor SOMA no limite de remuneração do proponente. ","")&amp;IF(P56="","",IF(P56&gt;L_FORNECEDOR,"🔴 Fornecedor acima do limite sobre o valor captado (confira exceções). ",IF(P56&gt;=L_FORNECEDOR*MARGEM,"🟡 Fornecedor perto do limite. ","")))&amp;IF(AND(LEFT(K56,5)="Cachê",F56&lt;&gt;""),IF(F56&gt;IFERROR(VLOOKUP(K56,TAB_CATEGORIAS,2,FALSE),9E+99),"🔴 Cachê acima do limite: só com outras fontes ou apreciação da CNIC. ",""),"")&amp;IF(AND(LEFT(H56,6)="Outras",K56&lt;&gt;""),"🟡 Outras fontes: confirme que o recurso existe e está comprometido. ",""))="","🟢 CONFERIDO",IF(AND(B56="",G56=""),"",IF(OR(E56="",F56=""),"🟡 Falta quantidade ou valor. ","")&amp;IF(H56="","🟡 Informe a fonte. ","")&amp;IF(K56="","🟡 Classifique a categoria de limite. ","")&amp;IF(TRIM(M56)="","🔴 Sem justificativa de vínculo: se não explica, não coloque. ","")&amp;IF(N56&lt;&gt;"Sim","🟡 Preço de mercado não conferido. ","")&amp;IF(O56="Sim","🔴 Possível DUPLA COBERTURA: a mesma despesa não pode ser paga duas vezes. ","")&amp;IF(AND(L56="Sim",K56&lt;&gt;"Remuneração do proponente"),"🟡 Pessoa vinculada: este valor SOMA no limite de remuneração do proponente. ","")&amp;IF(P56="","",IF(P56&gt;L_FORNECEDOR,"🔴 Fornecedor acima do limite sobre o valor captado (confira exceções). ",IF(P56&gt;=L_FORNECEDOR*MARGEM,"🟡 Fornecedor perto do limite. ","")))&amp;IF(AND(LEFT(K56,5)="Cachê",F56&lt;&gt;""),IF(F56&gt;IFERROR(VLOOKUP(K56,TAB_CATEGORIAS,2,FALSE),9E+99),"🔴 Cachê acima do limite: só com outras fontes ou apreciação da CNIC. ",""),"")&amp;IF(AND(LEFT(H56,6)="Outras",K56&lt;&gt;""),"🟡 Outras fontes: confirme que o recurso existe e está comprometido. ",""))))</f>
        <v/>
      </c>
    </row>
    <row r="57">
      <c r="A57" s="20" t="n"/>
      <c r="B57" s="20" t="n"/>
      <c r="C57" s="20" t="n"/>
      <c r="D57" s="20" t="n"/>
      <c r="E57" s="20" t="n"/>
      <c r="F57" s="17" t="n"/>
      <c r="G57" s="26">
        <f>IF(OR(E57="",F57=""),"",E57*F57)</f>
        <v/>
      </c>
      <c r="H57" s="20" t="n"/>
      <c r="I57" s="20" t="n"/>
      <c r="J57" s="20" t="n"/>
      <c r="K57" s="20" t="n"/>
      <c r="L57" s="20" t="n"/>
      <c r="M57" s="20" t="n"/>
      <c r="N57" s="20" t="n"/>
      <c r="O57" s="20" t="n"/>
      <c r="P57" s="27">
        <f>IF(OR(I57="",G57="",LEFT(H57,9)&lt;&gt;"Incentivo",VALOR_CAPTADO=0),"",SUMIFS($G$8:$G$207,$I$8:$I$207,I57,$H$8:$H$207,"Incentivo*")/VALOR_CAPTADO)</f>
        <v/>
      </c>
      <c r="Q57" s="21">
        <f>IF(AND(B57="",G57=""),"",IF(IF(AND(B57="",G57=""),"",IF(OR(E57="",F57=""),"🟡 Falta quantidade ou valor. ","")&amp;IF(H57="","🟡 Informe a fonte. ","")&amp;IF(K57="","🟡 Classifique a categoria de limite. ","")&amp;IF(TRIM(M57)="","🔴 Sem justificativa de vínculo: se não explica, não coloque. ","")&amp;IF(N57&lt;&gt;"Sim","🟡 Preço de mercado não conferido. ","")&amp;IF(O57="Sim","🔴 Possível DUPLA COBERTURA: a mesma despesa não pode ser paga duas vezes. ","")&amp;IF(AND(L57="Sim",K57&lt;&gt;"Remuneração do proponente"),"🟡 Pessoa vinculada: este valor SOMA no limite de remuneração do proponente. ","")&amp;IF(P57="","",IF(P57&gt;L_FORNECEDOR,"🔴 Fornecedor acima do limite sobre o valor captado (confira exceções). ",IF(P57&gt;=L_FORNECEDOR*MARGEM,"🟡 Fornecedor perto do limite. ","")))&amp;IF(AND(LEFT(K57,5)="Cachê",F57&lt;&gt;""),IF(F57&gt;IFERROR(VLOOKUP(K57,TAB_CATEGORIAS,2,FALSE),9E+99),"🔴 Cachê acima do limite: só com outras fontes ou apreciação da CNIC. ",""),"")&amp;IF(AND(LEFT(H57,6)="Outras",K57&lt;&gt;""),"🟡 Outras fontes: confirme que o recurso existe e está comprometido. ",""))="","🟢 CONFERIDO",IF(AND(B57="",G57=""),"",IF(OR(E57="",F57=""),"🟡 Falta quantidade ou valor. ","")&amp;IF(H57="","🟡 Informe a fonte. ","")&amp;IF(K57="","🟡 Classifique a categoria de limite. ","")&amp;IF(TRIM(M57)="","🔴 Sem justificativa de vínculo: se não explica, não coloque. ","")&amp;IF(N57&lt;&gt;"Sim","🟡 Preço de mercado não conferido. ","")&amp;IF(O57="Sim","🔴 Possível DUPLA COBERTURA: a mesma despesa não pode ser paga duas vezes. ","")&amp;IF(AND(L57="Sim",K57&lt;&gt;"Remuneração do proponente"),"🟡 Pessoa vinculada: este valor SOMA no limite de remuneração do proponente. ","")&amp;IF(P57="","",IF(P57&gt;L_FORNECEDOR,"🔴 Fornecedor acima do limite sobre o valor captado (confira exceções). ",IF(P57&gt;=L_FORNECEDOR*MARGEM,"🟡 Fornecedor perto do limite. ","")))&amp;IF(AND(LEFT(K57,5)="Cachê",F57&lt;&gt;""),IF(F57&gt;IFERROR(VLOOKUP(K57,TAB_CATEGORIAS,2,FALSE),9E+99),"🔴 Cachê acima do limite: só com outras fontes ou apreciação da CNIC. ",""),"")&amp;IF(AND(LEFT(H57,6)="Outras",K57&lt;&gt;""),"🟡 Outras fontes: confirme que o recurso existe e está comprometido. ",""))))</f>
        <v/>
      </c>
    </row>
    <row r="58">
      <c r="A58" s="20" t="n"/>
      <c r="B58" s="20" t="n"/>
      <c r="C58" s="20" t="n"/>
      <c r="D58" s="20" t="n"/>
      <c r="E58" s="20" t="n"/>
      <c r="F58" s="17" t="n"/>
      <c r="G58" s="26">
        <f>IF(OR(E58="",F58=""),"",E58*F58)</f>
        <v/>
      </c>
      <c r="H58" s="20" t="n"/>
      <c r="I58" s="20" t="n"/>
      <c r="J58" s="20" t="n"/>
      <c r="K58" s="20" t="n"/>
      <c r="L58" s="20" t="n"/>
      <c r="M58" s="20" t="n"/>
      <c r="N58" s="20" t="n"/>
      <c r="O58" s="20" t="n"/>
      <c r="P58" s="27">
        <f>IF(OR(I58="",G58="",LEFT(H58,9)&lt;&gt;"Incentivo",VALOR_CAPTADO=0),"",SUMIFS($G$8:$G$207,$I$8:$I$207,I58,$H$8:$H$207,"Incentivo*")/VALOR_CAPTADO)</f>
        <v/>
      </c>
      <c r="Q58" s="21">
        <f>IF(AND(B58="",G58=""),"",IF(IF(AND(B58="",G58=""),"",IF(OR(E58="",F58=""),"🟡 Falta quantidade ou valor. ","")&amp;IF(H58="","🟡 Informe a fonte. ","")&amp;IF(K58="","🟡 Classifique a categoria de limite. ","")&amp;IF(TRIM(M58)="","🔴 Sem justificativa de vínculo: se não explica, não coloque. ","")&amp;IF(N58&lt;&gt;"Sim","🟡 Preço de mercado não conferido. ","")&amp;IF(O58="Sim","🔴 Possível DUPLA COBERTURA: a mesma despesa não pode ser paga duas vezes. ","")&amp;IF(AND(L58="Sim",K58&lt;&gt;"Remuneração do proponente"),"🟡 Pessoa vinculada: este valor SOMA no limite de remuneração do proponente. ","")&amp;IF(P58="","",IF(P58&gt;L_FORNECEDOR,"🔴 Fornecedor acima do limite sobre o valor captado (confira exceções). ",IF(P58&gt;=L_FORNECEDOR*MARGEM,"🟡 Fornecedor perto do limite. ","")))&amp;IF(AND(LEFT(K58,5)="Cachê",F58&lt;&gt;""),IF(F58&gt;IFERROR(VLOOKUP(K58,TAB_CATEGORIAS,2,FALSE),9E+99),"🔴 Cachê acima do limite: só com outras fontes ou apreciação da CNIC. ",""),"")&amp;IF(AND(LEFT(H58,6)="Outras",K58&lt;&gt;""),"🟡 Outras fontes: confirme que o recurso existe e está comprometido. ",""))="","🟢 CONFERIDO",IF(AND(B58="",G58=""),"",IF(OR(E58="",F58=""),"🟡 Falta quantidade ou valor. ","")&amp;IF(H58="","🟡 Informe a fonte. ","")&amp;IF(K58="","🟡 Classifique a categoria de limite. ","")&amp;IF(TRIM(M58)="","🔴 Sem justificativa de vínculo: se não explica, não coloque. ","")&amp;IF(N58&lt;&gt;"Sim","🟡 Preço de mercado não conferido. ","")&amp;IF(O58="Sim","🔴 Possível DUPLA COBERTURA: a mesma despesa não pode ser paga duas vezes. ","")&amp;IF(AND(L58="Sim",K58&lt;&gt;"Remuneração do proponente"),"🟡 Pessoa vinculada: este valor SOMA no limite de remuneração do proponente. ","")&amp;IF(P58="","",IF(P58&gt;L_FORNECEDOR,"🔴 Fornecedor acima do limite sobre o valor captado (confira exceções). ",IF(P58&gt;=L_FORNECEDOR*MARGEM,"🟡 Fornecedor perto do limite. ","")))&amp;IF(AND(LEFT(K58,5)="Cachê",F58&lt;&gt;""),IF(F58&gt;IFERROR(VLOOKUP(K58,TAB_CATEGORIAS,2,FALSE),9E+99),"🔴 Cachê acima do limite: só com outras fontes ou apreciação da CNIC. ",""),"")&amp;IF(AND(LEFT(H58,6)="Outras",K58&lt;&gt;""),"🟡 Outras fontes: confirme que o recurso existe e está comprometido. ",""))))</f>
        <v/>
      </c>
    </row>
    <row r="59">
      <c r="A59" s="20" t="n"/>
      <c r="B59" s="20" t="n"/>
      <c r="C59" s="20" t="n"/>
      <c r="D59" s="20" t="n"/>
      <c r="E59" s="20" t="n"/>
      <c r="F59" s="17" t="n"/>
      <c r="G59" s="26">
        <f>IF(OR(E59="",F59=""),"",E59*F59)</f>
        <v/>
      </c>
      <c r="H59" s="20" t="n"/>
      <c r="I59" s="20" t="n"/>
      <c r="J59" s="20" t="n"/>
      <c r="K59" s="20" t="n"/>
      <c r="L59" s="20" t="n"/>
      <c r="M59" s="20" t="n"/>
      <c r="N59" s="20" t="n"/>
      <c r="O59" s="20" t="n"/>
      <c r="P59" s="27">
        <f>IF(OR(I59="",G59="",LEFT(H59,9)&lt;&gt;"Incentivo",VALOR_CAPTADO=0),"",SUMIFS($G$8:$G$207,$I$8:$I$207,I59,$H$8:$H$207,"Incentivo*")/VALOR_CAPTADO)</f>
        <v/>
      </c>
      <c r="Q59" s="21">
        <f>IF(AND(B59="",G59=""),"",IF(IF(AND(B59="",G59=""),"",IF(OR(E59="",F59=""),"🟡 Falta quantidade ou valor. ","")&amp;IF(H59="","🟡 Informe a fonte. ","")&amp;IF(K59="","🟡 Classifique a categoria de limite. ","")&amp;IF(TRIM(M59)="","🔴 Sem justificativa de vínculo: se não explica, não coloque. ","")&amp;IF(N59&lt;&gt;"Sim","🟡 Preço de mercado não conferido. ","")&amp;IF(O59="Sim","🔴 Possível DUPLA COBERTURA: a mesma despesa não pode ser paga duas vezes. ","")&amp;IF(AND(L59="Sim",K59&lt;&gt;"Remuneração do proponente"),"🟡 Pessoa vinculada: este valor SOMA no limite de remuneração do proponente. ","")&amp;IF(P59="","",IF(P59&gt;L_FORNECEDOR,"🔴 Fornecedor acima do limite sobre o valor captado (confira exceções). ",IF(P59&gt;=L_FORNECEDOR*MARGEM,"🟡 Fornecedor perto do limite. ","")))&amp;IF(AND(LEFT(K59,5)="Cachê",F59&lt;&gt;""),IF(F59&gt;IFERROR(VLOOKUP(K59,TAB_CATEGORIAS,2,FALSE),9E+99),"🔴 Cachê acima do limite: só com outras fontes ou apreciação da CNIC. ",""),"")&amp;IF(AND(LEFT(H59,6)="Outras",K59&lt;&gt;""),"🟡 Outras fontes: confirme que o recurso existe e está comprometido. ",""))="","🟢 CONFERIDO",IF(AND(B59="",G59=""),"",IF(OR(E59="",F59=""),"🟡 Falta quantidade ou valor. ","")&amp;IF(H59="","🟡 Informe a fonte. ","")&amp;IF(K59="","🟡 Classifique a categoria de limite. ","")&amp;IF(TRIM(M59)="","🔴 Sem justificativa de vínculo: se não explica, não coloque. ","")&amp;IF(N59&lt;&gt;"Sim","🟡 Preço de mercado não conferido. ","")&amp;IF(O59="Sim","🔴 Possível DUPLA COBERTURA: a mesma despesa não pode ser paga duas vezes. ","")&amp;IF(AND(L59="Sim",K59&lt;&gt;"Remuneração do proponente"),"🟡 Pessoa vinculada: este valor SOMA no limite de remuneração do proponente. ","")&amp;IF(P59="","",IF(P59&gt;L_FORNECEDOR,"🔴 Fornecedor acima do limite sobre o valor captado (confira exceções). ",IF(P59&gt;=L_FORNECEDOR*MARGEM,"🟡 Fornecedor perto do limite. ","")))&amp;IF(AND(LEFT(K59,5)="Cachê",F59&lt;&gt;""),IF(F59&gt;IFERROR(VLOOKUP(K59,TAB_CATEGORIAS,2,FALSE),9E+99),"🔴 Cachê acima do limite: só com outras fontes ou apreciação da CNIC. ",""),"")&amp;IF(AND(LEFT(H59,6)="Outras",K59&lt;&gt;""),"🟡 Outras fontes: confirme que o recurso existe e está comprometido. ",""))))</f>
        <v/>
      </c>
    </row>
    <row r="60">
      <c r="A60" s="20" t="n"/>
      <c r="B60" s="20" t="n"/>
      <c r="C60" s="20" t="n"/>
      <c r="D60" s="20" t="n"/>
      <c r="E60" s="20" t="n"/>
      <c r="F60" s="17" t="n"/>
      <c r="G60" s="26">
        <f>IF(OR(E60="",F60=""),"",E60*F60)</f>
        <v/>
      </c>
      <c r="H60" s="20" t="n"/>
      <c r="I60" s="20" t="n"/>
      <c r="J60" s="20" t="n"/>
      <c r="K60" s="20" t="n"/>
      <c r="L60" s="20" t="n"/>
      <c r="M60" s="20" t="n"/>
      <c r="N60" s="20" t="n"/>
      <c r="O60" s="20" t="n"/>
      <c r="P60" s="27">
        <f>IF(OR(I60="",G60="",LEFT(H60,9)&lt;&gt;"Incentivo",VALOR_CAPTADO=0),"",SUMIFS($G$8:$G$207,$I$8:$I$207,I60,$H$8:$H$207,"Incentivo*")/VALOR_CAPTADO)</f>
        <v/>
      </c>
      <c r="Q60" s="21">
        <f>IF(AND(B60="",G60=""),"",IF(IF(AND(B60="",G60=""),"",IF(OR(E60="",F60=""),"🟡 Falta quantidade ou valor. ","")&amp;IF(H60="","🟡 Informe a fonte. ","")&amp;IF(K60="","🟡 Classifique a categoria de limite. ","")&amp;IF(TRIM(M60)="","🔴 Sem justificativa de vínculo: se não explica, não coloque. ","")&amp;IF(N60&lt;&gt;"Sim","🟡 Preço de mercado não conferido. ","")&amp;IF(O60="Sim","🔴 Possível DUPLA COBERTURA: a mesma despesa não pode ser paga duas vezes. ","")&amp;IF(AND(L60="Sim",K60&lt;&gt;"Remuneração do proponente"),"🟡 Pessoa vinculada: este valor SOMA no limite de remuneração do proponente. ","")&amp;IF(P60="","",IF(P60&gt;L_FORNECEDOR,"🔴 Fornecedor acima do limite sobre o valor captado (confira exceções). ",IF(P60&gt;=L_FORNECEDOR*MARGEM,"🟡 Fornecedor perto do limite. ","")))&amp;IF(AND(LEFT(K60,5)="Cachê",F60&lt;&gt;""),IF(F60&gt;IFERROR(VLOOKUP(K60,TAB_CATEGORIAS,2,FALSE),9E+99),"🔴 Cachê acima do limite: só com outras fontes ou apreciação da CNIC. ",""),"")&amp;IF(AND(LEFT(H60,6)="Outras",K60&lt;&gt;""),"🟡 Outras fontes: confirme que o recurso existe e está comprometido. ",""))="","🟢 CONFERIDO",IF(AND(B60="",G60=""),"",IF(OR(E60="",F60=""),"🟡 Falta quantidade ou valor. ","")&amp;IF(H60="","🟡 Informe a fonte. ","")&amp;IF(K60="","🟡 Classifique a categoria de limite. ","")&amp;IF(TRIM(M60)="","🔴 Sem justificativa de vínculo: se não explica, não coloque. ","")&amp;IF(N60&lt;&gt;"Sim","🟡 Preço de mercado não conferido. ","")&amp;IF(O60="Sim","🔴 Possível DUPLA COBERTURA: a mesma despesa não pode ser paga duas vezes. ","")&amp;IF(AND(L60="Sim",K60&lt;&gt;"Remuneração do proponente"),"🟡 Pessoa vinculada: este valor SOMA no limite de remuneração do proponente. ","")&amp;IF(P60="","",IF(P60&gt;L_FORNECEDOR,"🔴 Fornecedor acima do limite sobre o valor captado (confira exceções). ",IF(P60&gt;=L_FORNECEDOR*MARGEM,"🟡 Fornecedor perto do limite. ","")))&amp;IF(AND(LEFT(K60,5)="Cachê",F60&lt;&gt;""),IF(F60&gt;IFERROR(VLOOKUP(K60,TAB_CATEGORIAS,2,FALSE),9E+99),"🔴 Cachê acima do limite: só com outras fontes ou apreciação da CNIC. ",""),"")&amp;IF(AND(LEFT(H60,6)="Outras",K60&lt;&gt;""),"🟡 Outras fontes: confirme que o recurso existe e está comprometido. ",""))))</f>
        <v/>
      </c>
    </row>
    <row r="61">
      <c r="A61" s="20" t="n"/>
      <c r="B61" s="20" t="n"/>
      <c r="C61" s="20" t="n"/>
      <c r="D61" s="20" t="n"/>
      <c r="E61" s="20" t="n"/>
      <c r="F61" s="17" t="n"/>
      <c r="G61" s="26">
        <f>IF(OR(E61="",F61=""),"",E61*F61)</f>
        <v/>
      </c>
      <c r="H61" s="20" t="n"/>
      <c r="I61" s="20" t="n"/>
      <c r="J61" s="20" t="n"/>
      <c r="K61" s="20" t="n"/>
      <c r="L61" s="20" t="n"/>
      <c r="M61" s="20" t="n"/>
      <c r="N61" s="20" t="n"/>
      <c r="O61" s="20" t="n"/>
      <c r="P61" s="27">
        <f>IF(OR(I61="",G61="",LEFT(H61,9)&lt;&gt;"Incentivo",VALOR_CAPTADO=0),"",SUMIFS($G$8:$G$207,$I$8:$I$207,I61,$H$8:$H$207,"Incentivo*")/VALOR_CAPTADO)</f>
        <v/>
      </c>
      <c r="Q61" s="21">
        <f>IF(AND(B61="",G61=""),"",IF(IF(AND(B61="",G61=""),"",IF(OR(E61="",F61=""),"🟡 Falta quantidade ou valor. ","")&amp;IF(H61="","🟡 Informe a fonte. ","")&amp;IF(K61="","🟡 Classifique a categoria de limite. ","")&amp;IF(TRIM(M61)="","🔴 Sem justificativa de vínculo: se não explica, não coloque. ","")&amp;IF(N61&lt;&gt;"Sim","🟡 Preço de mercado não conferido. ","")&amp;IF(O61="Sim","🔴 Possível DUPLA COBERTURA: a mesma despesa não pode ser paga duas vezes. ","")&amp;IF(AND(L61="Sim",K61&lt;&gt;"Remuneração do proponente"),"🟡 Pessoa vinculada: este valor SOMA no limite de remuneração do proponente. ","")&amp;IF(P61="","",IF(P61&gt;L_FORNECEDOR,"🔴 Fornecedor acima do limite sobre o valor captado (confira exceções). ",IF(P61&gt;=L_FORNECEDOR*MARGEM,"🟡 Fornecedor perto do limite. ","")))&amp;IF(AND(LEFT(K61,5)="Cachê",F61&lt;&gt;""),IF(F61&gt;IFERROR(VLOOKUP(K61,TAB_CATEGORIAS,2,FALSE),9E+99),"🔴 Cachê acima do limite: só com outras fontes ou apreciação da CNIC. ",""),"")&amp;IF(AND(LEFT(H61,6)="Outras",K61&lt;&gt;""),"🟡 Outras fontes: confirme que o recurso existe e está comprometido. ",""))="","🟢 CONFERIDO",IF(AND(B61="",G61=""),"",IF(OR(E61="",F61=""),"🟡 Falta quantidade ou valor. ","")&amp;IF(H61="","🟡 Informe a fonte. ","")&amp;IF(K61="","🟡 Classifique a categoria de limite. ","")&amp;IF(TRIM(M61)="","🔴 Sem justificativa de vínculo: se não explica, não coloque. ","")&amp;IF(N61&lt;&gt;"Sim","🟡 Preço de mercado não conferido. ","")&amp;IF(O61="Sim","🔴 Possível DUPLA COBERTURA: a mesma despesa não pode ser paga duas vezes. ","")&amp;IF(AND(L61="Sim",K61&lt;&gt;"Remuneração do proponente"),"🟡 Pessoa vinculada: este valor SOMA no limite de remuneração do proponente. ","")&amp;IF(P61="","",IF(P61&gt;L_FORNECEDOR,"🔴 Fornecedor acima do limite sobre o valor captado (confira exceções). ",IF(P61&gt;=L_FORNECEDOR*MARGEM,"🟡 Fornecedor perto do limite. ","")))&amp;IF(AND(LEFT(K61,5)="Cachê",F61&lt;&gt;""),IF(F61&gt;IFERROR(VLOOKUP(K61,TAB_CATEGORIAS,2,FALSE),9E+99),"🔴 Cachê acima do limite: só com outras fontes ou apreciação da CNIC. ",""),"")&amp;IF(AND(LEFT(H61,6)="Outras",K61&lt;&gt;""),"🟡 Outras fontes: confirme que o recurso existe e está comprometido. ",""))))</f>
        <v/>
      </c>
    </row>
    <row r="62">
      <c r="A62" s="20" t="n"/>
      <c r="B62" s="20" t="n"/>
      <c r="C62" s="20" t="n"/>
      <c r="D62" s="20" t="n"/>
      <c r="E62" s="20" t="n"/>
      <c r="F62" s="17" t="n"/>
      <c r="G62" s="26">
        <f>IF(OR(E62="",F62=""),"",E62*F62)</f>
        <v/>
      </c>
      <c r="H62" s="20" t="n"/>
      <c r="I62" s="20" t="n"/>
      <c r="J62" s="20" t="n"/>
      <c r="K62" s="20" t="n"/>
      <c r="L62" s="20" t="n"/>
      <c r="M62" s="20" t="n"/>
      <c r="N62" s="20" t="n"/>
      <c r="O62" s="20" t="n"/>
      <c r="P62" s="27">
        <f>IF(OR(I62="",G62="",LEFT(H62,9)&lt;&gt;"Incentivo",VALOR_CAPTADO=0),"",SUMIFS($G$8:$G$207,$I$8:$I$207,I62,$H$8:$H$207,"Incentivo*")/VALOR_CAPTADO)</f>
        <v/>
      </c>
      <c r="Q62" s="21">
        <f>IF(AND(B62="",G62=""),"",IF(IF(AND(B62="",G62=""),"",IF(OR(E62="",F62=""),"🟡 Falta quantidade ou valor. ","")&amp;IF(H62="","🟡 Informe a fonte. ","")&amp;IF(K62="","🟡 Classifique a categoria de limite. ","")&amp;IF(TRIM(M62)="","🔴 Sem justificativa de vínculo: se não explica, não coloque. ","")&amp;IF(N62&lt;&gt;"Sim","🟡 Preço de mercado não conferido. ","")&amp;IF(O62="Sim","🔴 Possível DUPLA COBERTURA: a mesma despesa não pode ser paga duas vezes. ","")&amp;IF(AND(L62="Sim",K62&lt;&gt;"Remuneração do proponente"),"🟡 Pessoa vinculada: este valor SOMA no limite de remuneração do proponente. ","")&amp;IF(P62="","",IF(P62&gt;L_FORNECEDOR,"🔴 Fornecedor acima do limite sobre o valor captado (confira exceções). ",IF(P62&gt;=L_FORNECEDOR*MARGEM,"🟡 Fornecedor perto do limite. ","")))&amp;IF(AND(LEFT(K62,5)="Cachê",F62&lt;&gt;""),IF(F62&gt;IFERROR(VLOOKUP(K62,TAB_CATEGORIAS,2,FALSE),9E+99),"🔴 Cachê acima do limite: só com outras fontes ou apreciação da CNIC. ",""),"")&amp;IF(AND(LEFT(H62,6)="Outras",K62&lt;&gt;""),"🟡 Outras fontes: confirme que o recurso existe e está comprometido. ",""))="","🟢 CONFERIDO",IF(AND(B62="",G62=""),"",IF(OR(E62="",F62=""),"🟡 Falta quantidade ou valor. ","")&amp;IF(H62="","🟡 Informe a fonte. ","")&amp;IF(K62="","🟡 Classifique a categoria de limite. ","")&amp;IF(TRIM(M62)="","🔴 Sem justificativa de vínculo: se não explica, não coloque. ","")&amp;IF(N62&lt;&gt;"Sim","🟡 Preço de mercado não conferido. ","")&amp;IF(O62="Sim","🔴 Possível DUPLA COBERTURA: a mesma despesa não pode ser paga duas vezes. ","")&amp;IF(AND(L62="Sim",K62&lt;&gt;"Remuneração do proponente"),"🟡 Pessoa vinculada: este valor SOMA no limite de remuneração do proponente. ","")&amp;IF(P62="","",IF(P62&gt;L_FORNECEDOR,"🔴 Fornecedor acima do limite sobre o valor captado (confira exceções). ",IF(P62&gt;=L_FORNECEDOR*MARGEM,"🟡 Fornecedor perto do limite. ","")))&amp;IF(AND(LEFT(K62,5)="Cachê",F62&lt;&gt;""),IF(F62&gt;IFERROR(VLOOKUP(K62,TAB_CATEGORIAS,2,FALSE),9E+99),"🔴 Cachê acima do limite: só com outras fontes ou apreciação da CNIC. ",""),"")&amp;IF(AND(LEFT(H62,6)="Outras",K62&lt;&gt;""),"🟡 Outras fontes: confirme que o recurso existe e está comprometido. ",""))))</f>
        <v/>
      </c>
    </row>
    <row r="63">
      <c r="A63" s="20" t="n"/>
      <c r="B63" s="20" t="n"/>
      <c r="C63" s="20" t="n"/>
      <c r="D63" s="20" t="n"/>
      <c r="E63" s="20" t="n"/>
      <c r="F63" s="17" t="n"/>
      <c r="G63" s="26">
        <f>IF(OR(E63="",F63=""),"",E63*F63)</f>
        <v/>
      </c>
      <c r="H63" s="20" t="n"/>
      <c r="I63" s="20" t="n"/>
      <c r="J63" s="20" t="n"/>
      <c r="K63" s="20" t="n"/>
      <c r="L63" s="20" t="n"/>
      <c r="M63" s="20" t="n"/>
      <c r="N63" s="20" t="n"/>
      <c r="O63" s="20" t="n"/>
      <c r="P63" s="27">
        <f>IF(OR(I63="",G63="",LEFT(H63,9)&lt;&gt;"Incentivo",VALOR_CAPTADO=0),"",SUMIFS($G$8:$G$207,$I$8:$I$207,I63,$H$8:$H$207,"Incentivo*")/VALOR_CAPTADO)</f>
        <v/>
      </c>
      <c r="Q63" s="21">
        <f>IF(AND(B63="",G63=""),"",IF(IF(AND(B63="",G63=""),"",IF(OR(E63="",F63=""),"🟡 Falta quantidade ou valor. ","")&amp;IF(H63="","🟡 Informe a fonte. ","")&amp;IF(K63="","🟡 Classifique a categoria de limite. ","")&amp;IF(TRIM(M63)="","🔴 Sem justificativa de vínculo: se não explica, não coloque. ","")&amp;IF(N63&lt;&gt;"Sim","🟡 Preço de mercado não conferido. ","")&amp;IF(O63="Sim","🔴 Possível DUPLA COBERTURA: a mesma despesa não pode ser paga duas vezes. ","")&amp;IF(AND(L63="Sim",K63&lt;&gt;"Remuneração do proponente"),"🟡 Pessoa vinculada: este valor SOMA no limite de remuneração do proponente. ","")&amp;IF(P63="","",IF(P63&gt;L_FORNECEDOR,"🔴 Fornecedor acima do limite sobre o valor captado (confira exceções). ",IF(P63&gt;=L_FORNECEDOR*MARGEM,"🟡 Fornecedor perto do limite. ","")))&amp;IF(AND(LEFT(K63,5)="Cachê",F63&lt;&gt;""),IF(F63&gt;IFERROR(VLOOKUP(K63,TAB_CATEGORIAS,2,FALSE),9E+99),"🔴 Cachê acima do limite: só com outras fontes ou apreciação da CNIC. ",""),"")&amp;IF(AND(LEFT(H63,6)="Outras",K63&lt;&gt;""),"🟡 Outras fontes: confirme que o recurso existe e está comprometido. ",""))="","🟢 CONFERIDO",IF(AND(B63="",G63=""),"",IF(OR(E63="",F63=""),"🟡 Falta quantidade ou valor. ","")&amp;IF(H63="","🟡 Informe a fonte. ","")&amp;IF(K63="","🟡 Classifique a categoria de limite. ","")&amp;IF(TRIM(M63)="","🔴 Sem justificativa de vínculo: se não explica, não coloque. ","")&amp;IF(N63&lt;&gt;"Sim","🟡 Preço de mercado não conferido. ","")&amp;IF(O63="Sim","🔴 Possível DUPLA COBERTURA: a mesma despesa não pode ser paga duas vezes. ","")&amp;IF(AND(L63="Sim",K63&lt;&gt;"Remuneração do proponente"),"🟡 Pessoa vinculada: este valor SOMA no limite de remuneração do proponente. ","")&amp;IF(P63="","",IF(P63&gt;L_FORNECEDOR,"🔴 Fornecedor acima do limite sobre o valor captado (confira exceções). ",IF(P63&gt;=L_FORNECEDOR*MARGEM,"🟡 Fornecedor perto do limite. ","")))&amp;IF(AND(LEFT(K63,5)="Cachê",F63&lt;&gt;""),IF(F63&gt;IFERROR(VLOOKUP(K63,TAB_CATEGORIAS,2,FALSE),9E+99),"🔴 Cachê acima do limite: só com outras fontes ou apreciação da CNIC. ",""),"")&amp;IF(AND(LEFT(H63,6)="Outras",K63&lt;&gt;""),"🟡 Outras fontes: confirme que o recurso existe e está comprometido. ",""))))</f>
        <v/>
      </c>
    </row>
    <row r="64">
      <c r="A64" s="20" t="n"/>
      <c r="B64" s="20" t="n"/>
      <c r="C64" s="20" t="n"/>
      <c r="D64" s="20" t="n"/>
      <c r="E64" s="20" t="n"/>
      <c r="F64" s="17" t="n"/>
      <c r="G64" s="26">
        <f>IF(OR(E64="",F64=""),"",E64*F64)</f>
        <v/>
      </c>
      <c r="H64" s="20" t="n"/>
      <c r="I64" s="20" t="n"/>
      <c r="J64" s="20" t="n"/>
      <c r="K64" s="20" t="n"/>
      <c r="L64" s="20" t="n"/>
      <c r="M64" s="20" t="n"/>
      <c r="N64" s="20" t="n"/>
      <c r="O64" s="20" t="n"/>
      <c r="P64" s="27">
        <f>IF(OR(I64="",G64="",LEFT(H64,9)&lt;&gt;"Incentivo",VALOR_CAPTADO=0),"",SUMIFS($G$8:$G$207,$I$8:$I$207,I64,$H$8:$H$207,"Incentivo*")/VALOR_CAPTADO)</f>
        <v/>
      </c>
      <c r="Q64" s="21">
        <f>IF(AND(B64="",G64=""),"",IF(IF(AND(B64="",G64=""),"",IF(OR(E64="",F64=""),"🟡 Falta quantidade ou valor. ","")&amp;IF(H64="","🟡 Informe a fonte. ","")&amp;IF(K64="","🟡 Classifique a categoria de limite. ","")&amp;IF(TRIM(M64)="","🔴 Sem justificativa de vínculo: se não explica, não coloque. ","")&amp;IF(N64&lt;&gt;"Sim","🟡 Preço de mercado não conferido. ","")&amp;IF(O64="Sim","🔴 Possível DUPLA COBERTURA: a mesma despesa não pode ser paga duas vezes. ","")&amp;IF(AND(L64="Sim",K64&lt;&gt;"Remuneração do proponente"),"🟡 Pessoa vinculada: este valor SOMA no limite de remuneração do proponente. ","")&amp;IF(P64="","",IF(P64&gt;L_FORNECEDOR,"🔴 Fornecedor acima do limite sobre o valor captado (confira exceções). ",IF(P64&gt;=L_FORNECEDOR*MARGEM,"🟡 Fornecedor perto do limite. ","")))&amp;IF(AND(LEFT(K64,5)="Cachê",F64&lt;&gt;""),IF(F64&gt;IFERROR(VLOOKUP(K64,TAB_CATEGORIAS,2,FALSE),9E+99),"🔴 Cachê acima do limite: só com outras fontes ou apreciação da CNIC. ",""),"")&amp;IF(AND(LEFT(H64,6)="Outras",K64&lt;&gt;""),"🟡 Outras fontes: confirme que o recurso existe e está comprometido. ",""))="","🟢 CONFERIDO",IF(AND(B64="",G64=""),"",IF(OR(E64="",F64=""),"🟡 Falta quantidade ou valor. ","")&amp;IF(H64="","🟡 Informe a fonte. ","")&amp;IF(K64="","🟡 Classifique a categoria de limite. ","")&amp;IF(TRIM(M64)="","🔴 Sem justificativa de vínculo: se não explica, não coloque. ","")&amp;IF(N64&lt;&gt;"Sim","🟡 Preço de mercado não conferido. ","")&amp;IF(O64="Sim","🔴 Possível DUPLA COBERTURA: a mesma despesa não pode ser paga duas vezes. ","")&amp;IF(AND(L64="Sim",K64&lt;&gt;"Remuneração do proponente"),"🟡 Pessoa vinculada: este valor SOMA no limite de remuneração do proponente. ","")&amp;IF(P64="","",IF(P64&gt;L_FORNECEDOR,"🔴 Fornecedor acima do limite sobre o valor captado (confira exceções). ",IF(P64&gt;=L_FORNECEDOR*MARGEM,"🟡 Fornecedor perto do limite. ","")))&amp;IF(AND(LEFT(K64,5)="Cachê",F64&lt;&gt;""),IF(F64&gt;IFERROR(VLOOKUP(K64,TAB_CATEGORIAS,2,FALSE),9E+99),"🔴 Cachê acima do limite: só com outras fontes ou apreciação da CNIC. ",""),"")&amp;IF(AND(LEFT(H64,6)="Outras",K64&lt;&gt;""),"🟡 Outras fontes: confirme que o recurso existe e está comprometido. ",""))))</f>
        <v/>
      </c>
    </row>
    <row r="65">
      <c r="A65" s="20" t="n"/>
      <c r="B65" s="20" t="n"/>
      <c r="C65" s="20" t="n"/>
      <c r="D65" s="20" t="n"/>
      <c r="E65" s="20" t="n"/>
      <c r="F65" s="17" t="n"/>
      <c r="G65" s="26">
        <f>IF(OR(E65="",F65=""),"",E65*F65)</f>
        <v/>
      </c>
      <c r="H65" s="20" t="n"/>
      <c r="I65" s="20" t="n"/>
      <c r="J65" s="20" t="n"/>
      <c r="K65" s="20" t="n"/>
      <c r="L65" s="20" t="n"/>
      <c r="M65" s="20" t="n"/>
      <c r="N65" s="20" t="n"/>
      <c r="O65" s="20" t="n"/>
      <c r="P65" s="27">
        <f>IF(OR(I65="",G65="",LEFT(H65,9)&lt;&gt;"Incentivo",VALOR_CAPTADO=0),"",SUMIFS($G$8:$G$207,$I$8:$I$207,I65,$H$8:$H$207,"Incentivo*")/VALOR_CAPTADO)</f>
        <v/>
      </c>
      <c r="Q65" s="21">
        <f>IF(AND(B65="",G65=""),"",IF(IF(AND(B65="",G65=""),"",IF(OR(E65="",F65=""),"🟡 Falta quantidade ou valor. ","")&amp;IF(H65="","🟡 Informe a fonte. ","")&amp;IF(K65="","🟡 Classifique a categoria de limite. ","")&amp;IF(TRIM(M65)="","🔴 Sem justificativa de vínculo: se não explica, não coloque. ","")&amp;IF(N65&lt;&gt;"Sim","🟡 Preço de mercado não conferido. ","")&amp;IF(O65="Sim","🔴 Possível DUPLA COBERTURA: a mesma despesa não pode ser paga duas vezes. ","")&amp;IF(AND(L65="Sim",K65&lt;&gt;"Remuneração do proponente"),"🟡 Pessoa vinculada: este valor SOMA no limite de remuneração do proponente. ","")&amp;IF(P65="","",IF(P65&gt;L_FORNECEDOR,"🔴 Fornecedor acima do limite sobre o valor captado (confira exceções). ",IF(P65&gt;=L_FORNECEDOR*MARGEM,"🟡 Fornecedor perto do limite. ","")))&amp;IF(AND(LEFT(K65,5)="Cachê",F65&lt;&gt;""),IF(F65&gt;IFERROR(VLOOKUP(K65,TAB_CATEGORIAS,2,FALSE),9E+99),"🔴 Cachê acima do limite: só com outras fontes ou apreciação da CNIC. ",""),"")&amp;IF(AND(LEFT(H65,6)="Outras",K65&lt;&gt;""),"🟡 Outras fontes: confirme que o recurso existe e está comprometido. ",""))="","🟢 CONFERIDO",IF(AND(B65="",G65=""),"",IF(OR(E65="",F65=""),"🟡 Falta quantidade ou valor. ","")&amp;IF(H65="","🟡 Informe a fonte. ","")&amp;IF(K65="","🟡 Classifique a categoria de limite. ","")&amp;IF(TRIM(M65)="","🔴 Sem justificativa de vínculo: se não explica, não coloque. ","")&amp;IF(N65&lt;&gt;"Sim","🟡 Preço de mercado não conferido. ","")&amp;IF(O65="Sim","🔴 Possível DUPLA COBERTURA: a mesma despesa não pode ser paga duas vezes. ","")&amp;IF(AND(L65="Sim",K65&lt;&gt;"Remuneração do proponente"),"🟡 Pessoa vinculada: este valor SOMA no limite de remuneração do proponente. ","")&amp;IF(P65="","",IF(P65&gt;L_FORNECEDOR,"🔴 Fornecedor acima do limite sobre o valor captado (confira exceções). ",IF(P65&gt;=L_FORNECEDOR*MARGEM,"🟡 Fornecedor perto do limite. ","")))&amp;IF(AND(LEFT(K65,5)="Cachê",F65&lt;&gt;""),IF(F65&gt;IFERROR(VLOOKUP(K65,TAB_CATEGORIAS,2,FALSE),9E+99),"🔴 Cachê acima do limite: só com outras fontes ou apreciação da CNIC. ",""),"")&amp;IF(AND(LEFT(H65,6)="Outras",K65&lt;&gt;""),"🟡 Outras fontes: confirme que o recurso existe e está comprometido. ",""))))</f>
        <v/>
      </c>
    </row>
    <row r="66">
      <c r="A66" s="20" t="n"/>
      <c r="B66" s="20" t="n"/>
      <c r="C66" s="20" t="n"/>
      <c r="D66" s="20" t="n"/>
      <c r="E66" s="20" t="n"/>
      <c r="F66" s="17" t="n"/>
      <c r="G66" s="26">
        <f>IF(OR(E66="",F66=""),"",E66*F66)</f>
        <v/>
      </c>
      <c r="H66" s="20" t="n"/>
      <c r="I66" s="20" t="n"/>
      <c r="J66" s="20" t="n"/>
      <c r="K66" s="20" t="n"/>
      <c r="L66" s="20" t="n"/>
      <c r="M66" s="20" t="n"/>
      <c r="N66" s="20" t="n"/>
      <c r="O66" s="20" t="n"/>
      <c r="P66" s="27">
        <f>IF(OR(I66="",G66="",LEFT(H66,9)&lt;&gt;"Incentivo",VALOR_CAPTADO=0),"",SUMIFS($G$8:$G$207,$I$8:$I$207,I66,$H$8:$H$207,"Incentivo*")/VALOR_CAPTADO)</f>
        <v/>
      </c>
      <c r="Q66" s="21">
        <f>IF(AND(B66="",G66=""),"",IF(IF(AND(B66="",G66=""),"",IF(OR(E66="",F66=""),"🟡 Falta quantidade ou valor. ","")&amp;IF(H66="","🟡 Informe a fonte. ","")&amp;IF(K66="","🟡 Classifique a categoria de limite. ","")&amp;IF(TRIM(M66)="","🔴 Sem justificativa de vínculo: se não explica, não coloque. ","")&amp;IF(N66&lt;&gt;"Sim","🟡 Preço de mercado não conferido. ","")&amp;IF(O66="Sim","🔴 Possível DUPLA COBERTURA: a mesma despesa não pode ser paga duas vezes. ","")&amp;IF(AND(L66="Sim",K66&lt;&gt;"Remuneração do proponente"),"🟡 Pessoa vinculada: este valor SOMA no limite de remuneração do proponente. ","")&amp;IF(P66="","",IF(P66&gt;L_FORNECEDOR,"🔴 Fornecedor acima do limite sobre o valor captado (confira exceções). ",IF(P66&gt;=L_FORNECEDOR*MARGEM,"🟡 Fornecedor perto do limite. ","")))&amp;IF(AND(LEFT(K66,5)="Cachê",F66&lt;&gt;""),IF(F66&gt;IFERROR(VLOOKUP(K66,TAB_CATEGORIAS,2,FALSE),9E+99),"🔴 Cachê acima do limite: só com outras fontes ou apreciação da CNIC. ",""),"")&amp;IF(AND(LEFT(H66,6)="Outras",K66&lt;&gt;""),"🟡 Outras fontes: confirme que o recurso existe e está comprometido. ",""))="","🟢 CONFERIDO",IF(AND(B66="",G66=""),"",IF(OR(E66="",F66=""),"🟡 Falta quantidade ou valor. ","")&amp;IF(H66="","🟡 Informe a fonte. ","")&amp;IF(K66="","🟡 Classifique a categoria de limite. ","")&amp;IF(TRIM(M66)="","🔴 Sem justificativa de vínculo: se não explica, não coloque. ","")&amp;IF(N66&lt;&gt;"Sim","🟡 Preço de mercado não conferido. ","")&amp;IF(O66="Sim","🔴 Possível DUPLA COBERTURA: a mesma despesa não pode ser paga duas vezes. ","")&amp;IF(AND(L66="Sim",K66&lt;&gt;"Remuneração do proponente"),"🟡 Pessoa vinculada: este valor SOMA no limite de remuneração do proponente. ","")&amp;IF(P66="","",IF(P66&gt;L_FORNECEDOR,"🔴 Fornecedor acima do limite sobre o valor captado (confira exceções). ",IF(P66&gt;=L_FORNECEDOR*MARGEM,"🟡 Fornecedor perto do limite. ","")))&amp;IF(AND(LEFT(K66,5)="Cachê",F66&lt;&gt;""),IF(F66&gt;IFERROR(VLOOKUP(K66,TAB_CATEGORIAS,2,FALSE),9E+99),"🔴 Cachê acima do limite: só com outras fontes ou apreciação da CNIC. ",""),"")&amp;IF(AND(LEFT(H66,6)="Outras",K66&lt;&gt;""),"🟡 Outras fontes: confirme que o recurso existe e está comprometido. ",""))))</f>
        <v/>
      </c>
    </row>
    <row r="67">
      <c r="A67" s="20" t="n"/>
      <c r="B67" s="20" t="n"/>
      <c r="C67" s="20" t="n"/>
      <c r="D67" s="20" t="n"/>
      <c r="E67" s="20" t="n"/>
      <c r="F67" s="17" t="n"/>
      <c r="G67" s="26">
        <f>IF(OR(E67="",F67=""),"",E67*F67)</f>
        <v/>
      </c>
      <c r="H67" s="20" t="n"/>
      <c r="I67" s="20" t="n"/>
      <c r="J67" s="20" t="n"/>
      <c r="K67" s="20" t="n"/>
      <c r="L67" s="20" t="n"/>
      <c r="M67" s="20" t="n"/>
      <c r="N67" s="20" t="n"/>
      <c r="O67" s="20" t="n"/>
      <c r="P67" s="27">
        <f>IF(OR(I67="",G67="",LEFT(H67,9)&lt;&gt;"Incentivo",VALOR_CAPTADO=0),"",SUMIFS($G$8:$G$207,$I$8:$I$207,I67,$H$8:$H$207,"Incentivo*")/VALOR_CAPTADO)</f>
        <v/>
      </c>
      <c r="Q67" s="21">
        <f>IF(AND(B67="",G67=""),"",IF(IF(AND(B67="",G67=""),"",IF(OR(E67="",F67=""),"🟡 Falta quantidade ou valor. ","")&amp;IF(H67="","🟡 Informe a fonte. ","")&amp;IF(K67="","🟡 Classifique a categoria de limite. ","")&amp;IF(TRIM(M67)="","🔴 Sem justificativa de vínculo: se não explica, não coloque. ","")&amp;IF(N67&lt;&gt;"Sim","🟡 Preço de mercado não conferido. ","")&amp;IF(O67="Sim","🔴 Possível DUPLA COBERTURA: a mesma despesa não pode ser paga duas vezes. ","")&amp;IF(AND(L67="Sim",K67&lt;&gt;"Remuneração do proponente"),"🟡 Pessoa vinculada: este valor SOMA no limite de remuneração do proponente. ","")&amp;IF(P67="","",IF(P67&gt;L_FORNECEDOR,"🔴 Fornecedor acima do limite sobre o valor captado (confira exceções). ",IF(P67&gt;=L_FORNECEDOR*MARGEM,"🟡 Fornecedor perto do limite. ","")))&amp;IF(AND(LEFT(K67,5)="Cachê",F67&lt;&gt;""),IF(F67&gt;IFERROR(VLOOKUP(K67,TAB_CATEGORIAS,2,FALSE),9E+99),"🔴 Cachê acima do limite: só com outras fontes ou apreciação da CNIC. ",""),"")&amp;IF(AND(LEFT(H67,6)="Outras",K67&lt;&gt;""),"🟡 Outras fontes: confirme que o recurso existe e está comprometido. ",""))="","🟢 CONFERIDO",IF(AND(B67="",G67=""),"",IF(OR(E67="",F67=""),"🟡 Falta quantidade ou valor. ","")&amp;IF(H67="","🟡 Informe a fonte. ","")&amp;IF(K67="","🟡 Classifique a categoria de limite. ","")&amp;IF(TRIM(M67)="","🔴 Sem justificativa de vínculo: se não explica, não coloque. ","")&amp;IF(N67&lt;&gt;"Sim","🟡 Preço de mercado não conferido. ","")&amp;IF(O67="Sim","🔴 Possível DUPLA COBERTURA: a mesma despesa não pode ser paga duas vezes. ","")&amp;IF(AND(L67="Sim",K67&lt;&gt;"Remuneração do proponente"),"🟡 Pessoa vinculada: este valor SOMA no limite de remuneração do proponente. ","")&amp;IF(P67="","",IF(P67&gt;L_FORNECEDOR,"🔴 Fornecedor acima do limite sobre o valor captado (confira exceções). ",IF(P67&gt;=L_FORNECEDOR*MARGEM,"🟡 Fornecedor perto do limite. ","")))&amp;IF(AND(LEFT(K67,5)="Cachê",F67&lt;&gt;""),IF(F67&gt;IFERROR(VLOOKUP(K67,TAB_CATEGORIAS,2,FALSE),9E+99),"🔴 Cachê acima do limite: só com outras fontes ou apreciação da CNIC. ",""),"")&amp;IF(AND(LEFT(H67,6)="Outras",K67&lt;&gt;""),"🟡 Outras fontes: confirme que o recurso existe e está comprometido. ",""))))</f>
        <v/>
      </c>
    </row>
    <row r="68">
      <c r="A68" s="20" t="n"/>
      <c r="B68" s="20" t="n"/>
      <c r="C68" s="20" t="n"/>
      <c r="D68" s="20" t="n"/>
      <c r="E68" s="20" t="n"/>
      <c r="F68" s="17" t="n"/>
      <c r="G68" s="26">
        <f>IF(OR(E68="",F68=""),"",E68*F68)</f>
        <v/>
      </c>
      <c r="H68" s="20" t="n"/>
      <c r="I68" s="20" t="n"/>
      <c r="J68" s="20" t="n"/>
      <c r="K68" s="20" t="n"/>
      <c r="L68" s="20" t="n"/>
      <c r="M68" s="20" t="n"/>
      <c r="N68" s="20" t="n"/>
      <c r="O68" s="20" t="n"/>
      <c r="P68" s="27">
        <f>IF(OR(I68="",G68="",LEFT(H68,9)&lt;&gt;"Incentivo",VALOR_CAPTADO=0),"",SUMIFS($G$8:$G$207,$I$8:$I$207,I68,$H$8:$H$207,"Incentivo*")/VALOR_CAPTADO)</f>
        <v/>
      </c>
      <c r="Q68" s="21">
        <f>IF(AND(B68="",G68=""),"",IF(IF(AND(B68="",G68=""),"",IF(OR(E68="",F68=""),"🟡 Falta quantidade ou valor. ","")&amp;IF(H68="","🟡 Informe a fonte. ","")&amp;IF(K68="","🟡 Classifique a categoria de limite. ","")&amp;IF(TRIM(M68)="","🔴 Sem justificativa de vínculo: se não explica, não coloque. ","")&amp;IF(N68&lt;&gt;"Sim","🟡 Preço de mercado não conferido. ","")&amp;IF(O68="Sim","🔴 Possível DUPLA COBERTURA: a mesma despesa não pode ser paga duas vezes. ","")&amp;IF(AND(L68="Sim",K68&lt;&gt;"Remuneração do proponente"),"🟡 Pessoa vinculada: este valor SOMA no limite de remuneração do proponente. ","")&amp;IF(P68="","",IF(P68&gt;L_FORNECEDOR,"🔴 Fornecedor acima do limite sobre o valor captado (confira exceções). ",IF(P68&gt;=L_FORNECEDOR*MARGEM,"🟡 Fornecedor perto do limite. ","")))&amp;IF(AND(LEFT(K68,5)="Cachê",F68&lt;&gt;""),IF(F68&gt;IFERROR(VLOOKUP(K68,TAB_CATEGORIAS,2,FALSE),9E+99),"🔴 Cachê acima do limite: só com outras fontes ou apreciação da CNIC. ",""),"")&amp;IF(AND(LEFT(H68,6)="Outras",K68&lt;&gt;""),"🟡 Outras fontes: confirme que o recurso existe e está comprometido. ",""))="","🟢 CONFERIDO",IF(AND(B68="",G68=""),"",IF(OR(E68="",F68=""),"🟡 Falta quantidade ou valor. ","")&amp;IF(H68="","🟡 Informe a fonte. ","")&amp;IF(K68="","🟡 Classifique a categoria de limite. ","")&amp;IF(TRIM(M68)="","🔴 Sem justificativa de vínculo: se não explica, não coloque. ","")&amp;IF(N68&lt;&gt;"Sim","🟡 Preço de mercado não conferido. ","")&amp;IF(O68="Sim","🔴 Possível DUPLA COBERTURA: a mesma despesa não pode ser paga duas vezes. ","")&amp;IF(AND(L68="Sim",K68&lt;&gt;"Remuneração do proponente"),"🟡 Pessoa vinculada: este valor SOMA no limite de remuneração do proponente. ","")&amp;IF(P68="","",IF(P68&gt;L_FORNECEDOR,"🔴 Fornecedor acima do limite sobre o valor captado (confira exceções). ",IF(P68&gt;=L_FORNECEDOR*MARGEM,"🟡 Fornecedor perto do limite. ","")))&amp;IF(AND(LEFT(K68,5)="Cachê",F68&lt;&gt;""),IF(F68&gt;IFERROR(VLOOKUP(K68,TAB_CATEGORIAS,2,FALSE),9E+99),"🔴 Cachê acima do limite: só com outras fontes ou apreciação da CNIC. ",""),"")&amp;IF(AND(LEFT(H68,6)="Outras",K68&lt;&gt;""),"🟡 Outras fontes: confirme que o recurso existe e está comprometido. ",""))))</f>
        <v/>
      </c>
    </row>
    <row r="69">
      <c r="A69" s="20" t="n"/>
      <c r="B69" s="20" t="n"/>
      <c r="C69" s="20" t="n"/>
      <c r="D69" s="20" t="n"/>
      <c r="E69" s="20" t="n"/>
      <c r="F69" s="17" t="n"/>
      <c r="G69" s="26">
        <f>IF(OR(E69="",F69=""),"",E69*F69)</f>
        <v/>
      </c>
      <c r="H69" s="20" t="n"/>
      <c r="I69" s="20" t="n"/>
      <c r="J69" s="20" t="n"/>
      <c r="K69" s="20" t="n"/>
      <c r="L69" s="20" t="n"/>
      <c r="M69" s="20" t="n"/>
      <c r="N69" s="20" t="n"/>
      <c r="O69" s="20" t="n"/>
      <c r="P69" s="27">
        <f>IF(OR(I69="",G69="",LEFT(H69,9)&lt;&gt;"Incentivo",VALOR_CAPTADO=0),"",SUMIFS($G$8:$G$207,$I$8:$I$207,I69,$H$8:$H$207,"Incentivo*")/VALOR_CAPTADO)</f>
        <v/>
      </c>
      <c r="Q69" s="21">
        <f>IF(AND(B69="",G69=""),"",IF(IF(AND(B69="",G69=""),"",IF(OR(E69="",F69=""),"🟡 Falta quantidade ou valor. ","")&amp;IF(H69="","🟡 Informe a fonte. ","")&amp;IF(K69="","🟡 Classifique a categoria de limite. ","")&amp;IF(TRIM(M69)="","🔴 Sem justificativa de vínculo: se não explica, não coloque. ","")&amp;IF(N69&lt;&gt;"Sim","🟡 Preço de mercado não conferido. ","")&amp;IF(O69="Sim","🔴 Possível DUPLA COBERTURA: a mesma despesa não pode ser paga duas vezes. ","")&amp;IF(AND(L69="Sim",K69&lt;&gt;"Remuneração do proponente"),"🟡 Pessoa vinculada: este valor SOMA no limite de remuneração do proponente. ","")&amp;IF(P69="","",IF(P69&gt;L_FORNECEDOR,"🔴 Fornecedor acima do limite sobre o valor captado (confira exceções). ",IF(P69&gt;=L_FORNECEDOR*MARGEM,"🟡 Fornecedor perto do limite. ","")))&amp;IF(AND(LEFT(K69,5)="Cachê",F69&lt;&gt;""),IF(F69&gt;IFERROR(VLOOKUP(K69,TAB_CATEGORIAS,2,FALSE),9E+99),"🔴 Cachê acima do limite: só com outras fontes ou apreciação da CNIC. ",""),"")&amp;IF(AND(LEFT(H69,6)="Outras",K69&lt;&gt;""),"🟡 Outras fontes: confirme que o recurso existe e está comprometido. ",""))="","🟢 CONFERIDO",IF(AND(B69="",G69=""),"",IF(OR(E69="",F69=""),"🟡 Falta quantidade ou valor. ","")&amp;IF(H69="","🟡 Informe a fonte. ","")&amp;IF(K69="","🟡 Classifique a categoria de limite. ","")&amp;IF(TRIM(M69)="","🔴 Sem justificativa de vínculo: se não explica, não coloque. ","")&amp;IF(N69&lt;&gt;"Sim","🟡 Preço de mercado não conferido. ","")&amp;IF(O69="Sim","🔴 Possível DUPLA COBERTURA: a mesma despesa não pode ser paga duas vezes. ","")&amp;IF(AND(L69="Sim",K69&lt;&gt;"Remuneração do proponente"),"🟡 Pessoa vinculada: este valor SOMA no limite de remuneração do proponente. ","")&amp;IF(P69="","",IF(P69&gt;L_FORNECEDOR,"🔴 Fornecedor acima do limite sobre o valor captado (confira exceções). ",IF(P69&gt;=L_FORNECEDOR*MARGEM,"🟡 Fornecedor perto do limite. ","")))&amp;IF(AND(LEFT(K69,5)="Cachê",F69&lt;&gt;""),IF(F69&gt;IFERROR(VLOOKUP(K69,TAB_CATEGORIAS,2,FALSE),9E+99),"🔴 Cachê acima do limite: só com outras fontes ou apreciação da CNIC. ",""),"")&amp;IF(AND(LEFT(H69,6)="Outras",K69&lt;&gt;""),"🟡 Outras fontes: confirme que o recurso existe e está comprometido. ",""))))</f>
        <v/>
      </c>
    </row>
    <row r="70">
      <c r="A70" s="20" t="n"/>
      <c r="B70" s="20" t="n"/>
      <c r="C70" s="20" t="n"/>
      <c r="D70" s="20" t="n"/>
      <c r="E70" s="20" t="n"/>
      <c r="F70" s="17" t="n"/>
      <c r="G70" s="26">
        <f>IF(OR(E70="",F70=""),"",E70*F70)</f>
        <v/>
      </c>
      <c r="H70" s="20" t="n"/>
      <c r="I70" s="20" t="n"/>
      <c r="J70" s="20" t="n"/>
      <c r="K70" s="20" t="n"/>
      <c r="L70" s="20" t="n"/>
      <c r="M70" s="20" t="n"/>
      <c r="N70" s="20" t="n"/>
      <c r="O70" s="20" t="n"/>
      <c r="P70" s="27">
        <f>IF(OR(I70="",G70="",LEFT(H70,9)&lt;&gt;"Incentivo",VALOR_CAPTADO=0),"",SUMIFS($G$8:$G$207,$I$8:$I$207,I70,$H$8:$H$207,"Incentivo*")/VALOR_CAPTADO)</f>
        <v/>
      </c>
      <c r="Q70" s="21">
        <f>IF(AND(B70="",G70=""),"",IF(IF(AND(B70="",G70=""),"",IF(OR(E70="",F70=""),"🟡 Falta quantidade ou valor. ","")&amp;IF(H70="","🟡 Informe a fonte. ","")&amp;IF(K70="","🟡 Classifique a categoria de limite. ","")&amp;IF(TRIM(M70)="","🔴 Sem justificativa de vínculo: se não explica, não coloque. ","")&amp;IF(N70&lt;&gt;"Sim","🟡 Preço de mercado não conferido. ","")&amp;IF(O70="Sim","🔴 Possível DUPLA COBERTURA: a mesma despesa não pode ser paga duas vezes. ","")&amp;IF(AND(L70="Sim",K70&lt;&gt;"Remuneração do proponente"),"🟡 Pessoa vinculada: este valor SOMA no limite de remuneração do proponente. ","")&amp;IF(P70="","",IF(P70&gt;L_FORNECEDOR,"🔴 Fornecedor acima do limite sobre o valor captado (confira exceções). ",IF(P70&gt;=L_FORNECEDOR*MARGEM,"🟡 Fornecedor perto do limite. ","")))&amp;IF(AND(LEFT(K70,5)="Cachê",F70&lt;&gt;""),IF(F70&gt;IFERROR(VLOOKUP(K70,TAB_CATEGORIAS,2,FALSE),9E+99),"🔴 Cachê acima do limite: só com outras fontes ou apreciação da CNIC. ",""),"")&amp;IF(AND(LEFT(H70,6)="Outras",K70&lt;&gt;""),"🟡 Outras fontes: confirme que o recurso existe e está comprometido. ",""))="","🟢 CONFERIDO",IF(AND(B70="",G70=""),"",IF(OR(E70="",F70=""),"🟡 Falta quantidade ou valor. ","")&amp;IF(H70="","🟡 Informe a fonte. ","")&amp;IF(K70="","🟡 Classifique a categoria de limite. ","")&amp;IF(TRIM(M70)="","🔴 Sem justificativa de vínculo: se não explica, não coloque. ","")&amp;IF(N70&lt;&gt;"Sim","🟡 Preço de mercado não conferido. ","")&amp;IF(O70="Sim","🔴 Possível DUPLA COBERTURA: a mesma despesa não pode ser paga duas vezes. ","")&amp;IF(AND(L70="Sim",K70&lt;&gt;"Remuneração do proponente"),"🟡 Pessoa vinculada: este valor SOMA no limite de remuneração do proponente. ","")&amp;IF(P70="","",IF(P70&gt;L_FORNECEDOR,"🔴 Fornecedor acima do limite sobre o valor captado (confira exceções). ",IF(P70&gt;=L_FORNECEDOR*MARGEM,"🟡 Fornecedor perto do limite. ","")))&amp;IF(AND(LEFT(K70,5)="Cachê",F70&lt;&gt;""),IF(F70&gt;IFERROR(VLOOKUP(K70,TAB_CATEGORIAS,2,FALSE),9E+99),"🔴 Cachê acima do limite: só com outras fontes ou apreciação da CNIC. ",""),"")&amp;IF(AND(LEFT(H70,6)="Outras",K70&lt;&gt;""),"🟡 Outras fontes: confirme que o recurso existe e está comprometido. ",""))))</f>
        <v/>
      </c>
    </row>
    <row r="71">
      <c r="A71" s="20" t="n"/>
      <c r="B71" s="20" t="n"/>
      <c r="C71" s="20" t="n"/>
      <c r="D71" s="20" t="n"/>
      <c r="E71" s="20" t="n"/>
      <c r="F71" s="17" t="n"/>
      <c r="G71" s="26">
        <f>IF(OR(E71="",F71=""),"",E71*F71)</f>
        <v/>
      </c>
      <c r="H71" s="20" t="n"/>
      <c r="I71" s="20" t="n"/>
      <c r="J71" s="20" t="n"/>
      <c r="K71" s="20" t="n"/>
      <c r="L71" s="20" t="n"/>
      <c r="M71" s="20" t="n"/>
      <c r="N71" s="20" t="n"/>
      <c r="O71" s="20" t="n"/>
      <c r="P71" s="27">
        <f>IF(OR(I71="",G71="",LEFT(H71,9)&lt;&gt;"Incentivo",VALOR_CAPTADO=0),"",SUMIFS($G$8:$G$207,$I$8:$I$207,I71,$H$8:$H$207,"Incentivo*")/VALOR_CAPTADO)</f>
        <v/>
      </c>
      <c r="Q71" s="21">
        <f>IF(AND(B71="",G71=""),"",IF(IF(AND(B71="",G71=""),"",IF(OR(E71="",F71=""),"🟡 Falta quantidade ou valor. ","")&amp;IF(H71="","🟡 Informe a fonte. ","")&amp;IF(K71="","🟡 Classifique a categoria de limite. ","")&amp;IF(TRIM(M71)="","🔴 Sem justificativa de vínculo: se não explica, não coloque. ","")&amp;IF(N71&lt;&gt;"Sim","🟡 Preço de mercado não conferido. ","")&amp;IF(O71="Sim","🔴 Possível DUPLA COBERTURA: a mesma despesa não pode ser paga duas vezes. ","")&amp;IF(AND(L71="Sim",K71&lt;&gt;"Remuneração do proponente"),"🟡 Pessoa vinculada: este valor SOMA no limite de remuneração do proponente. ","")&amp;IF(P71="","",IF(P71&gt;L_FORNECEDOR,"🔴 Fornecedor acima do limite sobre o valor captado (confira exceções). ",IF(P71&gt;=L_FORNECEDOR*MARGEM,"🟡 Fornecedor perto do limite. ","")))&amp;IF(AND(LEFT(K71,5)="Cachê",F71&lt;&gt;""),IF(F71&gt;IFERROR(VLOOKUP(K71,TAB_CATEGORIAS,2,FALSE),9E+99),"🔴 Cachê acima do limite: só com outras fontes ou apreciação da CNIC. ",""),"")&amp;IF(AND(LEFT(H71,6)="Outras",K71&lt;&gt;""),"🟡 Outras fontes: confirme que o recurso existe e está comprometido. ",""))="","🟢 CONFERIDO",IF(AND(B71="",G71=""),"",IF(OR(E71="",F71=""),"🟡 Falta quantidade ou valor. ","")&amp;IF(H71="","🟡 Informe a fonte. ","")&amp;IF(K71="","🟡 Classifique a categoria de limite. ","")&amp;IF(TRIM(M71)="","🔴 Sem justificativa de vínculo: se não explica, não coloque. ","")&amp;IF(N71&lt;&gt;"Sim","🟡 Preço de mercado não conferido. ","")&amp;IF(O71="Sim","🔴 Possível DUPLA COBERTURA: a mesma despesa não pode ser paga duas vezes. ","")&amp;IF(AND(L71="Sim",K71&lt;&gt;"Remuneração do proponente"),"🟡 Pessoa vinculada: este valor SOMA no limite de remuneração do proponente. ","")&amp;IF(P71="","",IF(P71&gt;L_FORNECEDOR,"🔴 Fornecedor acima do limite sobre o valor captado (confira exceções). ",IF(P71&gt;=L_FORNECEDOR*MARGEM,"🟡 Fornecedor perto do limite. ","")))&amp;IF(AND(LEFT(K71,5)="Cachê",F71&lt;&gt;""),IF(F71&gt;IFERROR(VLOOKUP(K71,TAB_CATEGORIAS,2,FALSE),9E+99),"🔴 Cachê acima do limite: só com outras fontes ou apreciação da CNIC. ",""),"")&amp;IF(AND(LEFT(H71,6)="Outras",K71&lt;&gt;""),"🟡 Outras fontes: confirme que o recurso existe e está comprometido. ",""))))</f>
        <v/>
      </c>
    </row>
    <row r="72">
      <c r="A72" s="20" t="n"/>
      <c r="B72" s="20" t="n"/>
      <c r="C72" s="20" t="n"/>
      <c r="D72" s="20" t="n"/>
      <c r="E72" s="20" t="n"/>
      <c r="F72" s="17" t="n"/>
      <c r="G72" s="26">
        <f>IF(OR(E72="",F72=""),"",E72*F72)</f>
        <v/>
      </c>
      <c r="H72" s="20" t="n"/>
      <c r="I72" s="20" t="n"/>
      <c r="J72" s="20" t="n"/>
      <c r="K72" s="20" t="n"/>
      <c r="L72" s="20" t="n"/>
      <c r="M72" s="20" t="n"/>
      <c r="N72" s="20" t="n"/>
      <c r="O72" s="20" t="n"/>
      <c r="P72" s="27">
        <f>IF(OR(I72="",G72="",LEFT(H72,9)&lt;&gt;"Incentivo",VALOR_CAPTADO=0),"",SUMIFS($G$8:$G$207,$I$8:$I$207,I72,$H$8:$H$207,"Incentivo*")/VALOR_CAPTADO)</f>
        <v/>
      </c>
      <c r="Q72" s="21">
        <f>IF(AND(B72="",G72=""),"",IF(IF(AND(B72="",G72=""),"",IF(OR(E72="",F72=""),"🟡 Falta quantidade ou valor. ","")&amp;IF(H72="","🟡 Informe a fonte. ","")&amp;IF(K72="","🟡 Classifique a categoria de limite. ","")&amp;IF(TRIM(M72)="","🔴 Sem justificativa de vínculo: se não explica, não coloque. ","")&amp;IF(N72&lt;&gt;"Sim","🟡 Preço de mercado não conferido. ","")&amp;IF(O72="Sim","🔴 Possível DUPLA COBERTURA: a mesma despesa não pode ser paga duas vezes. ","")&amp;IF(AND(L72="Sim",K72&lt;&gt;"Remuneração do proponente"),"🟡 Pessoa vinculada: este valor SOMA no limite de remuneração do proponente. ","")&amp;IF(P72="","",IF(P72&gt;L_FORNECEDOR,"🔴 Fornecedor acima do limite sobre o valor captado (confira exceções). ",IF(P72&gt;=L_FORNECEDOR*MARGEM,"🟡 Fornecedor perto do limite. ","")))&amp;IF(AND(LEFT(K72,5)="Cachê",F72&lt;&gt;""),IF(F72&gt;IFERROR(VLOOKUP(K72,TAB_CATEGORIAS,2,FALSE),9E+99),"🔴 Cachê acima do limite: só com outras fontes ou apreciação da CNIC. ",""),"")&amp;IF(AND(LEFT(H72,6)="Outras",K72&lt;&gt;""),"🟡 Outras fontes: confirme que o recurso existe e está comprometido. ",""))="","🟢 CONFERIDO",IF(AND(B72="",G72=""),"",IF(OR(E72="",F72=""),"🟡 Falta quantidade ou valor. ","")&amp;IF(H72="","🟡 Informe a fonte. ","")&amp;IF(K72="","🟡 Classifique a categoria de limite. ","")&amp;IF(TRIM(M72)="","🔴 Sem justificativa de vínculo: se não explica, não coloque. ","")&amp;IF(N72&lt;&gt;"Sim","🟡 Preço de mercado não conferido. ","")&amp;IF(O72="Sim","🔴 Possível DUPLA COBERTURA: a mesma despesa não pode ser paga duas vezes. ","")&amp;IF(AND(L72="Sim",K72&lt;&gt;"Remuneração do proponente"),"🟡 Pessoa vinculada: este valor SOMA no limite de remuneração do proponente. ","")&amp;IF(P72="","",IF(P72&gt;L_FORNECEDOR,"🔴 Fornecedor acima do limite sobre o valor captado (confira exceções). ",IF(P72&gt;=L_FORNECEDOR*MARGEM,"🟡 Fornecedor perto do limite. ","")))&amp;IF(AND(LEFT(K72,5)="Cachê",F72&lt;&gt;""),IF(F72&gt;IFERROR(VLOOKUP(K72,TAB_CATEGORIAS,2,FALSE),9E+99),"🔴 Cachê acima do limite: só com outras fontes ou apreciação da CNIC. ",""),"")&amp;IF(AND(LEFT(H72,6)="Outras",K72&lt;&gt;""),"🟡 Outras fontes: confirme que o recurso existe e está comprometido. ",""))))</f>
        <v/>
      </c>
    </row>
    <row r="73">
      <c r="A73" s="20" t="n"/>
      <c r="B73" s="20" t="n"/>
      <c r="C73" s="20" t="n"/>
      <c r="D73" s="20" t="n"/>
      <c r="E73" s="20" t="n"/>
      <c r="F73" s="17" t="n"/>
      <c r="G73" s="26">
        <f>IF(OR(E73="",F73=""),"",E73*F73)</f>
        <v/>
      </c>
      <c r="H73" s="20" t="n"/>
      <c r="I73" s="20" t="n"/>
      <c r="J73" s="20" t="n"/>
      <c r="K73" s="20" t="n"/>
      <c r="L73" s="20" t="n"/>
      <c r="M73" s="20" t="n"/>
      <c r="N73" s="20" t="n"/>
      <c r="O73" s="20" t="n"/>
      <c r="P73" s="27">
        <f>IF(OR(I73="",G73="",LEFT(H73,9)&lt;&gt;"Incentivo",VALOR_CAPTADO=0),"",SUMIFS($G$8:$G$207,$I$8:$I$207,I73,$H$8:$H$207,"Incentivo*")/VALOR_CAPTADO)</f>
        <v/>
      </c>
      <c r="Q73" s="21">
        <f>IF(AND(B73="",G73=""),"",IF(IF(AND(B73="",G73=""),"",IF(OR(E73="",F73=""),"🟡 Falta quantidade ou valor. ","")&amp;IF(H73="","🟡 Informe a fonte. ","")&amp;IF(K73="","🟡 Classifique a categoria de limite. ","")&amp;IF(TRIM(M73)="","🔴 Sem justificativa de vínculo: se não explica, não coloque. ","")&amp;IF(N73&lt;&gt;"Sim","🟡 Preço de mercado não conferido. ","")&amp;IF(O73="Sim","🔴 Possível DUPLA COBERTURA: a mesma despesa não pode ser paga duas vezes. ","")&amp;IF(AND(L73="Sim",K73&lt;&gt;"Remuneração do proponente"),"🟡 Pessoa vinculada: este valor SOMA no limite de remuneração do proponente. ","")&amp;IF(P73="","",IF(P73&gt;L_FORNECEDOR,"🔴 Fornecedor acima do limite sobre o valor captado (confira exceções). ",IF(P73&gt;=L_FORNECEDOR*MARGEM,"🟡 Fornecedor perto do limite. ","")))&amp;IF(AND(LEFT(K73,5)="Cachê",F73&lt;&gt;""),IF(F73&gt;IFERROR(VLOOKUP(K73,TAB_CATEGORIAS,2,FALSE),9E+99),"🔴 Cachê acima do limite: só com outras fontes ou apreciação da CNIC. ",""),"")&amp;IF(AND(LEFT(H73,6)="Outras",K73&lt;&gt;""),"🟡 Outras fontes: confirme que o recurso existe e está comprometido. ",""))="","🟢 CONFERIDO",IF(AND(B73="",G73=""),"",IF(OR(E73="",F73=""),"🟡 Falta quantidade ou valor. ","")&amp;IF(H73="","🟡 Informe a fonte. ","")&amp;IF(K73="","🟡 Classifique a categoria de limite. ","")&amp;IF(TRIM(M73)="","🔴 Sem justificativa de vínculo: se não explica, não coloque. ","")&amp;IF(N73&lt;&gt;"Sim","🟡 Preço de mercado não conferido. ","")&amp;IF(O73="Sim","🔴 Possível DUPLA COBERTURA: a mesma despesa não pode ser paga duas vezes. ","")&amp;IF(AND(L73="Sim",K73&lt;&gt;"Remuneração do proponente"),"🟡 Pessoa vinculada: este valor SOMA no limite de remuneração do proponente. ","")&amp;IF(P73="","",IF(P73&gt;L_FORNECEDOR,"🔴 Fornecedor acima do limite sobre o valor captado (confira exceções). ",IF(P73&gt;=L_FORNECEDOR*MARGEM,"🟡 Fornecedor perto do limite. ","")))&amp;IF(AND(LEFT(K73,5)="Cachê",F73&lt;&gt;""),IF(F73&gt;IFERROR(VLOOKUP(K73,TAB_CATEGORIAS,2,FALSE),9E+99),"🔴 Cachê acima do limite: só com outras fontes ou apreciação da CNIC. ",""),"")&amp;IF(AND(LEFT(H73,6)="Outras",K73&lt;&gt;""),"🟡 Outras fontes: confirme que o recurso existe e está comprometido. ",""))))</f>
        <v/>
      </c>
    </row>
    <row r="74">
      <c r="A74" s="20" t="n"/>
      <c r="B74" s="20" t="n"/>
      <c r="C74" s="20" t="n"/>
      <c r="D74" s="20" t="n"/>
      <c r="E74" s="20" t="n"/>
      <c r="F74" s="17" t="n"/>
      <c r="G74" s="26">
        <f>IF(OR(E74="",F74=""),"",E74*F74)</f>
        <v/>
      </c>
      <c r="H74" s="20" t="n"/>
      <c r="I74" s="20" t="n"/>
      <c r="J74" s="20" t="n"/>
      <c r="K74" s="20" t="n"/>
      <c r="L74" s="20" t="n"/>
      <c r="M74" s="20" t="n"/>
      <c r="N74" s="20" t="n"/>
      <c r="O74" s="20" t="n"/>
      <c r="P74" s="27">
        <f>IF(OR(I74="",G74="",LEFT(H74,9)&lt;&gt;"Incentivo",VALOR_CAPTADO=0),"",SUMIFS($G$8:$G$207,$I$8:$I$207,I74,$H$8:$H$207,"Incentivo*")/VALOR_CAPTADO)</f>
        <v/>
      </c>
      <c r="Q74" s="21">
        <f>IF(AND(B74="",G74=""),"",IF(IF(AND(B74="",G74=""),"",IF(OR(E74="",F74=""),"🟡 Falta quantidade ou valor. ","")&amp;IF(H74="","🟡 Informe a fonte. ","")&amp;IF(K74="","🟡 Classifique a categoria de limite. ","")&amp;IF(TRIM(M74)="","🔴 Sem justificativa de vínculo: se não explica, não coloque. ","")&amp;IF(N74&lt;&gt;"Sim","🟡 Preço de mercado não conferido. ","")&amp;IF(O74="Sim","🔴 Possível DUPLA COBERTURA: a mesma despesa não pode ser paga duas vezes. ","")&amp;IF(AND(L74="Sim",K74&lt;&gt;"Remuneração do proponente"),"🟡 Pessoa vinculada: este valor SOMA no limite de remuneração do proponente. ","")&amp;IF(P74="","",IF(P74&gt;L_FORNECEDOR,"🔴 Fornecedor acima do limite sobre o valor captado (confira exceções). ",IF(P74&gt;=L_FORNECEDOR*MARGEM,"🟡 Fornecedor perto do limite. ","")))&amp;IF(AND(LEFT(K74,5)="Cachê",F74&lt;&gt;""),IF(F74&gt;IFERROR(VLOOKUP(K74,TAB_CATEGORIAS,2,FALSE),9E+99),"🔴 Cachê acima do limite: só com outras fontes ou apreciação da CNIC. ",""),"")&amp;IF(AND(LEFT(H74,6)="Outras",K74&lt;&gt;""),"🟡 Outras fontes: confirme que o recurso existe e está comprometido. ",""))="","🟢 CONFERIDO",IF(AND(B74="",G74=""),"",IF(OR(E74="",F74=""),"🟡 Falta quantidade ou valor. ","")&amp;IF(H74="","🟡 Informe a fonte. ","")&amp;IF(K74="","🟡 Classifique a categoria de limite. ","")&amp;IF(TRIM(M74)="","🔴 Sem justificativa de vínculo: se não explica, não coloque. ","")&amp;IF(N74&lt;&gt;"Sim","🟡 Preço de mercado não conferido. ","")&amp;IF(O74="Sim","🔴 Possível DUPLA COBERTURA: a mesma despesa não pode ser paga duas vezes. ","")&amp;IF(AND(L74="Sim",K74&lt;&gt;"Remuneração do proponente"),"🟡 Pessoa vinculada: este valor SOMA no limite de remuneração do proponente. ","")&amp;IF(P74="","",IF(P74&gt;L_FORNECEDOR,"🔴 Fornecedor acima do limite sobre o valor captado (confira exceções). ",IF(P74&gt;=L_FORNECEDOR*MARGEM,"🟡 Fornecedor perto do limite. ","")))&amp;IF(AND(LEFT(K74,5)="Cachê",F74&lt;&gt;""),IF(F74&gt;IFERROR(VLOOKUP(K74,TAB_CATEGORIAS,2,FALSE),9E+99),"🔴 Cachê acima do limite: só com outras fontes ou apreciação da CNIC. ",""),"")&amp;IF(AND(LEFT(H74,6)="Outras",K74&lt;&gt;""),"🟡 Outras fontes: confirme que o recurso existe e está comprometido. ",""))))</f>
        <v/>
      </c>
    </row>
    <row r="75">
      <c r="A75" s="20" t="n"/>
      <c r="B75" s="20" t="n"/>
      <c r="C75" s="20" t="n"/>
      <c r="D75" s="20" t="n"/>
      <c r="E75" s="20" t="n"/>
      <c r="F75" s="17" t="n"/>
      <c r="G75" s="26">
        <f>IF(OR(E75="",F75=""),"",E75*F75)</f>
        <v/>
      </c>
      <c r="H75" s="20" t="n"/>
      <c r="I75" s="20" t="n"/>
      <c r="J75" s="20" t="n"/>
      <c r="K75" s="20" t="n"/>
      <c r="L75" s="20" t="n"/>
      <c r="M75" s="20" t="n"/>
      <c r="N75" s="20" t="n"/>
      <c r="O75" s="20" t="n"/>
      <c r="P75" s="27">
        <f>IF(OR(I75="",G75="",LEFT(H75,9)&lt;&gt;"Incentivo",VALOR_CAPTADO=0),"",SUMIFS($G$8:$G$207,$I$8:$I$207,I75,$H$8:$H$207,"Incentivo*")/VALOR_CAPTADO)</f>
        <v/>
      </c>
      <c r="Q75" s="21">
        <f>IF(AND(B75="",G75=""),"",IF(IF(AND(B75="",G75=""),"",IF(OR(E75="",F75=""),"🟡 Falta quantidade ou valor. ","")&amp;IF(H75="","🟡 Informe a fonte. ","")&amp;IF(K75="","🟡 Classifique a categoria de limite. ","")&amp;IF(TRIM(M75)="","🔴 Sem justificativa de vínculo: se não explica, não coloque. ","")&amp;IF(N75&lt;&gt;"Sim","🟡 Preço de mercado não conferido. ","")&amp;IF(O75="Sim","🔴 Possível DUPLA COBERTURA: a mesma despesa não pode ser paga duas vezes. ","")&amp;IF(AND(L75="Sim",K75&lt;&gt;"Remuneração do proponente"),"🟡 Pessoa vinculada: este valor SOMA no limite de remuneração do proponente. ","")&amp;IF(P75="","",IF(P75&gt;L_FORNECEDOR,"🔴 Fornecedor acima do limite sobre o valor captado (confira exceções). ",IF(P75&gt;=L_FORNECEDOR*MARGEM,"🟡 Fornecedor perto do limite. ","")))&amp;IF(AND(LEFT(K75,5)="Cachê",F75&lt;&gt;""),IF(F75&gt;IFERROR(VLOOKUP(K75,TAB_CATEGORIAS,2,FALSE),9E+99),"🔴 Cachê acima do limite: só com outras fontes ou apreciação da CNIC. ",""),"")&amp;IF(AND(LEFT(H75,6)="Outras",K75&lt;&gt;""),"🟡 Outras fontes: confirme que o recurso existe e está comprometido. ",""))="","🟢 CONFERIDO",IF(AND(B75="",G75=""),"",IF(OR(E75="",F75=""),"🟡 Falta quantidade ou valor. ","")&amp;IF(H75="","🟡 Informe a fonte. ","")&amp;IF(K75="","🟡 Classifique a categoria de limite. ","")&amp;IF(TRIM(M75)="","🔴 Sem justificativa de vínculo: se não explica, não coloque. ","")&amp;IF(N75&lt;&gt;"Sim","🟡 Preço de mercado não conferido. ","")&amp;IF(O75="Sim","🔴 Possível DUPLA COBERTURA: a mesma despesa não pode ser paga duas vezes. ","")&amp;IF(AND(L75="Sim",K75&lt;&gt;"Remuneração do proponente"),"🟡 Pessoa vinculada: este valor SOMA no limite de remuneração do proponente. ","")&amp;IF(P75="","",IF(P75&gt;L_FORNECEDOR,"🔴 Fornecedor acima do limite sobre o valor captado (confira exceções). ",IF(P75&gt;=L_FORNECEDOR*MARGEM,"🟡 Fornecedor perto do limite. ","")))&amp;IF(AND(LEFT(K75,5)="Cachê",F75&lt;&gt;""),IF(F75&gt;IFERROR(VLOOKUP(K75,TAB_CATEGORIAS,2,FALSE),9E+99),"🔴 Cachê acima do limite: só com outras fontes ou apreciação da CNIC. ",""),"")&amp;IF(AND(LEFT(H75,6)="Outras",K75&lt;&gt;""),"🟡 Outras fontes: confirme que o recurso existe e está comprometido. ",""))))</f>
        <v/>
      </c>
    </row>
    <row r="76">
      <c r="A76" s="20" t="n"/>
      <c r="B76" s="20" t="n"/>
      <c r="C76" s="20" t="n"/>
      <c r="D76" s="20" t="n"/>
      <c r="E76" s="20" t="n"/>
      <c r="F76" s="17" t="n"/>
      <c r="G76" s="26">
        <f>IF(OR(E76="",F76=""),"",E76*F76)</f>
        <v/>
      </c>
      <c r="H76" s="20" t="n"/>
      <c r="I76" s="20" t="n"/>
      <c r="J76" s="20" t="n"/>
      <c r="K76" s="20" t="n"/>
      <c r="L76" s="20" t="n"/>
      <c r="M76" s="20" t="n"/>
      <c r="N76" s="20" t="n"/>
      <c r="O76" s="20" t="n"/>
      <c r="P76" s="27">
        <f>IF(OR(I76="",G76="",LEFT(H76,9)&lt;&gt;"Incentivo",VALOR_CAPTADO=0),"",SUMIFS($G$8:$G$207,$I$8:$I$207,I76,$H$8:$H$207,"Incentivo*")/VALOR_CAPTADO)</f>
        <v/>
      </c>
      <c r="Q76" s="21">
        <f>IF(AND(B76="",G76=""),"",IF(IF(AND(B76="",G76=""),"",IF(OR(E76="",F76=""),"🟡 Falta quantidade ou valor. ","")&amp;IF(H76="","🟡 Informe a fonte. ","")&amp;IF(K76="","🟡 Classifique a categoria de limite. ","")&amp;IF(TRIM(M76)="","🔴 Sem justificativa de vínculo: se não explica, não coloque. ","")&amp;IF(N76&lt;&gt;"Sim","🟡 Preço de mercado não conferido. ","")&amp;IF(O76="Sim","🔴 Possível DUPLA COBERTURA: a mesma despesa não pode ser paga duas vezes. ","")&amp;IF(AND(L76="Sim",K76&lt;&gt;"Remuneração do proponente"),"🟡 Pessoa vinculada: este valor SOMA no limite de remuneração do proponente. ","")&amp;IF(P76="","",IF(P76&gt;L_FORNECEDOR,"🔴 Fornecedor acima do limite sobre o valor captado (confira exceções). ",IF(P76&gt;=L_FORNECEDOR*MARGEM,"🟡 Fornecedor perto do limite. ","")))&amp;IF(AND(LEFT(K76,5)="Cachê",F76&lt;&gt;""),IF(F76&gt;IFERROR(VLOOKUP(K76,TAB_CATEGORIAS,2,FALSE),9E+99),"🔴 Cachê acima do limite: só com outras fontes ou apreciação da CNIC. ",""),"")&amp;IF(AND(LEFT(H76,6)="Outras",K76&lt;&gt;""),"🟡 Outras fontes: confirme que o recurso existe e está comprometido. ",""))="","🟢 CONFERIDO",IF(AND(B76="",G76=""),"",IF(OR(E76="",F76=""),"🟡 Falta quantidade ou valor. ","")&amp;IF(H76="","🟡 Informe a fonte. ","")&amp;IF(K76="","🟡 Classifique a categoria de limite. ","")&amp;IF(TRIM(M76)="","🔴 Sem justificativa de vínculo: se não explica, não coloque. ","")&amp;IF(N76&lt;&gt;"Sim","🟡 Preço de mercado não conferido. ","")&amp;IF(O76="Sim","🔴 Possível DUPLA COBERTURA: a mesma despesa não pode ser paga duas vezes. ","")&amp;IF(AND(L76="Sim",K76&lt;&gt;"Remuneração do proponente"),"🟡 Pessoa vinculada: este valor SOMA no limite de remuneração do proponente. ","")&amp;IF(P76="","",IF(P76&gt;L_FORNECEDOR,"🔴 Fornecedor acima do limite sobre o valor captado (confira exceções). ",IF(P76&gt;=L_FORNECEDOR*MARGEM,"🟡 Fornecedor perto do limite. ","")))&amp;IF(AND(LEFT(K76,5)="Cachê",F76&lt;&gt;""),IF(F76&gt;IFERROR(VLOOKUP(K76,TAB_CATEGORIAS,2,FALSE),9E+99),"🔴 Cachê acima do limite: só com outras fontes ou apreciação da CNIC. ",""),"")&amp;IF(AND(LEFT(H76,6)="Outras",K76&lt;&gt;""),"🟡 Outras fontes: confirme que o recurso existe e está comprometido. ",""))))</f>
        <v/>
      </c>
    </row>
    <row r="77">
      <c r="A77" s="20" t="n"/>
      <c r="B77" s="20" t="n"/>
      <c r="C77" s="20" t="n"/>
      <c r="D77" s="20" t="n"/>
      <c r="E77" s="20" t="n"/>
      <c r="F77" s="17" t="n"/>
      <c r="G77" s="26">
        <f>IF(OR(E77="",F77=""),"",E77*F77)</f>
        <v/>
      </c>
      <c r="H77" s="20" t="n"/>
      <c r="I77" s="20" t="n"/>
      <c r="J77" s="20" t="n"/>
      <c r="K77" s="20" t="n"/>
      <c r="L77" s="20" t="n"/>
      <c r="M77" s="20" t="n"/>
      <c r="N77" s="20" t="n"/>
      <c r="O77" s="20" t="n"/>
      <c r="P77" s="27">
        <f>IF(OR(I77="",G77="",LEFT(H77,9)&lt;&gt;"Incentivo",VALOR_CAPTADO=0),"",SUMIFS($G$8:$G$207,$I$8:$I$207,I77,$H$8:$H$207,"Incentivo*")/VALOR_CAPTADO)</f>
        <v/>
      </c>
      <c r="Q77" s="21">
        <f>IF(AND(B77="",G77=""),"",IF(IF(AND(B77="",G77=""),"",IF(OR(E77="",F77=""),"🟡 Falta quantidade ou valor. ","")&amp;IF(H77="","🟡 Informe a fonte. ","")&amp;IF(K77="","🟡 Classifique a categoria de limite. ","")&amp;IF(TRIM(M77)="","🔴 Sem justificativa de vínculo: se não explica, não coloque. ","")&amp;IF(N77&lt;&gt;"Sim","🟡 Preço de mercado não conferido. ","")&amp;IF(O77="Sim","🔴 Possível DUPLA COBERTURA: a mesma despesa não pode ser paga duas vezes. ","")&amp;IF(AND(L77="Sim",K77&lt;&gt;"Remuneração do proponente"),"🟡 Pessoa vinculada: este valor SOMA no limite de remuneração do proponente. ","")&amp;IF(P77="","",IF(P77&gt;L_FORNECEDOR,"🔴 Fornecedor acima do limite sobre o valor captado (confira exceções). ",IF(P77&gt;=L_FORNECEDOR*MARGEM,"🟡 Fornecedor perto do limite. ","")))&amp;IF(AND(LEFT(K77,5)="Cachê",F77&lt;&gt;""),IF(F77&gt;IFERROR(VLOOKUP(K77,TAB_CATEGORIAS,2,FALSE),9E+99),"🔴 Cachê acima do limite: só com outras fontes ou apreciação da CNIC. ",""),"")&amp;IF(AND(LEFT(H77,6)="Outras",K77&lt;&gt;""),"🟡 Outras fontes: confirme que o recurso existe e está comprometido. ",""))="","🟢 CONFERIDO",IF(AND(B77="",G77=""),"",IF(OR(E77="",F77=""),"🟡 Falta quantidade ou valor. ","")&amp;IF(H77="","🟡 Informe a fonte. ","")&amp;IF(K77="","🟡 Classifique a categoria de limite. ","")&amp;IF(TRIM(M77)="","🔴 Sem justificativa de vínculo: se não explica, não coloque. ","")&amp;IF(N77&lt;&gt;"Sim","🟡 Preço de mercado não conferido. ","")&amp;IF(O77="Sim","🔴 Possível DUPLA COBERTURA: a mesma despesa não pode ser paga duas vezes. ","")&amp;IF(AND(L77="Sim",K77&lt;&gt;"Remuneração do proponente"),"🟡 Pessoa vinculada: este valor SOMA no limite de remuneração do proponente. ","")&amp;IF(P77="","",IF(P77&gt;L_FORNECEDOR,"🔴 Fornecedor acima do limite sobre o valor captado (confira exceções). ",IF(P77&gt;=L_FORNECEDOR*MARGEM,"🟡 Fornecedor perto do limite. ","")))&amp;IF(AND(LEFT(K77,5)="Cachê",F77&lt;&gt;""),IF(F77&gt;IFERROR(VLOOKUP(K77,TAB_CATEGORIAS,2,FALSE),9E+99),"🔴 Cachê acima do limite: só com outras fontes ou apreciação da CNIC. ",""),"")&amp;IF(AND(LEFT(H77,6)="Outras",K77&lt;&gt;""),"🟡 Outras fontes: confirme que o recurso existe e está comprometido. ",""))))</f>
        <v/>
      </c>
    </row>
    <row r="78">
      <c r="A78" s="20" t="n"/>
      <c r="B78" s="20" t="n"/>
      <c r="C78" s="20" t="n"/>
      <c r="D78" s="20" t="n"/>
      <c r="E78" s="20" t="n"/>
      <c r="F78" s="17" t="n"/>
      <c r="G78" s="26">
        <f>IF(OR(E78="",F78=""),"",E78*F78)</f>
        <v/>
      </c>
      <c r="H78" s="20" t="n"/>
      <c r="I78" s="20" t="n"/>
      <c r="J78" s="20" t="n"/>
      <c r="K78" s="20" t="n"/>
      <c r="L78" s="20" t="n"/>
      <c r="M78" s="20" t="n"/>
      <c r="N78" s="20" t="n"/>
      <c r="O78" s="20" t="n"/>
      <c r="P78" s="27">
        <f>IF(OR(I78="",G78="",LEFT(H78,9)&lt;&gt;"Incentivo",VALOR_CAPTADO=0),"",SUMIFS($G$8:$G$207,$I$8:$I$207,I78,$H$8:$H$207,"Incentivo*")/VALOR_CAPTADO)</f>
        <v/>
      </c>
      <c r="Q78" s="21">
        <f>IF(AND(B78="",G78=""),"",IF(IF(AND(B78="",G78=""),"",IF(OR(E78="",F78=""),"🟡 Falta quantidade ou valor. ","")&amp;IF(H78="","🟡 Informe a fonte. ","")&amp;IF(K78="","🟡 Classifique a categoria de limite. ","")&amp;IF(TRIM(M78)="","🔴 Sem justificativa de vínculo: se não explica, não coloque. ","")&amp;IF(N78&lt;&gt;"Sim","🟡 Preço de mercado não conferido. ","")&amp;IF(O78="Sim","🔴 Possível DUPLA COBERTURA: a mesma despesa não pode ser paga duas vezes. ","")&amp;IF(AND(L78="Sim",K78&lt;&gt;"Remuneração do proponente"),"🟡 Pessoa vinculada: este valor SOMA no limite de remuneração do proponente. ","")&amp;IF(P78="","",IF(P78&gt;L_FORNECEDOR,"🔴 Fornecedor acima do limite sobre o valor captado (confira exceções). ",IF(P78&gt;=L_FORNECEDOR*MARGEM,"🟡 Fornecedor perto do limite. ","")))&amp;IF(AND(LEFT(K78,5)="Cachê",F78&lt;&gt;""),IF(F78&gt;IFERROR(VLOOKUP(K78,TAB_CATEGORIAS,2,FALSE),9E+99),"🔴 Cachê acima do limite: só com outras fontes ou apreciação da CNIC. ",""),"")&amp;IF(AND(LEFT(H78,6)="Outras",K78&lt;&gt;""),"🟡 Outras fontes: confirme que o recurso existe e está comprometido. ",""))="","🟢 CONFERIDO",IF(AND(B78="",G78=""),"",IF(OR(E78="",F78=""),"🟡 Falta quantidade ou valor. ","")&amp;IF(H78="","🟡 Informe a fonte. ","")&amp;IF(K78="","🟡 Classifique a categoria de limite. ","")&amp;IF(TRIM(M78)="","🔴 Sem justificativa de vínculo: se não explica, não coloque. ","")&amp;IF(N78&lt;&gt;"Sim","🟡 Preço de mercado não conferido. ","")&amp;IF(O78="Sim","🔴 Possível DUPLA COBERTURA: a mesma despesa não pode ser paga duas vezes. ","")&amp;IF(AND(L78="Sim",K78&lt;&gt;"Remuneração do proponente"),"🟡 Pessoa vinculada: este valor SOMA no limite de remuneração do proponente. ","")&amp;IF(P78="","",IF(P78&gt;L_FORNECEDOR,"🔴 Fornecedor acima do limite sobre o valor captado (confira exceções). ",IF(P78&gt;=L_FORNECEDOR*MARGEM,"🟡 Fornecedor perto do limite. ","")))&amp;IF(AND(LEFT(K78,5)="Cachê",F78&lt;&gt;""),IF(F78&gt;IFERROR(VLOOKUP(K78,TAB_CATEGORIAS,2,FALSE),9E+99),"🔴 Cachê acima do limite: só com outras fontes ou apreciação da CNIC. ",""),"")&amp;IF(AND(LEFT(H78,6)="Outras",K78&lt;&gt;""),"🟡 Outras fontes: confirme que o recurso existe e está comprometido. ",""))))</f>
        <v/>
      </c>
    </row>
    <row r="79">
      <c r="A79" s="20" t="n"/>
      <c r="B79" s="20" t="n"/>
      <c r="C79" s="20" t="n"/>
      <c r="D79" s="20" t="n"/>
      <c r="E79" s="20" t="n"/>
      <c r="F79" s="17" t="n"/>
      <c r="G79" s="26">
        <f>IF(OR(E79="",F79=""),"",E79*F79)</f>
        <v/>
      </c>
      <c r="H79" s="20" t="n"/>
      <c r="I79" s="20" t="n"/>
      <c r="J79" s="20" t="n"/>
      <c r="K79" s="20" t="n"/>
      <c r="L79" s="20" t="n"/>
      <c r="M79" s="20" t="n"/>
      <c r="N79" s="20" t="n"/>
      <c r="O79" s="20" t="n"/>
      <c r="P79" s="27">
        <f>IF(OR(I79="",G79="",LEFT(H79,9)&lt;&gt;"Incentivo",VALOR_CAPTADO=0),"",SUMIFS($G$8:$G$207,$I$8:$I$207,I79,$H$8:$H$207,"Incentivo*")/VALOR_CAPTADO)</f>
        <v/>
      </c>
      <c r="Q79" s="21">
        <f>IF(AND(B79="",G79=""),"",IF(IF(AND(B79="",G79=""),"",IF(OR(E79="",F79=""),"🟡 Falta quantidade ou valor. ","")&amp;IF(H79="","🟡 Informe a fonte. ","")&amp;IF(K79="","🟡 Classifique a categoria de limite. ","")&amp;IF(TRIM(M79)="","🔴 Sem justificativa de vínculo: se não explica, não coloque. ","")&amp;IF(N79&lt;&gt;"Sim","🟡 Preço de mercado não conferido. ","")&amp;IF(O79="Sim","🔴 Possível DUPLA COBERTURA: a mesma despesa não pode ser paga duas vezes. ","")&amp;IF(AND(L79="Sim",K79&lt;&gt;"Remuneração do proponente"),"🟡 Pessoa vinculada: este valor SOMA no limite de remuneração do proponente. ","")&amp;IF(P79="","",IF(P79&gt;L_FORNECEDOR,"🔴 Fornecedor acima do limite sobre o valor captado (confira exceções). ",IF(P79&gt;=L_FORNECEDOR*MARGEM,"🟡 Fornecedor perto do limite. ","")))&amp;IF(AND(LEFT(K79,5)="Cachê",F79&lt;&gt;""),IF(F79&gt;IFERROR(VLOOKUP(K79,TAB_CATEGORIAS,2,FALSE),9E+99),"🔴 Cachê acima do limite: só com outras fontes ou apreciação da CNIC. ",""),"")&amp;IF(AND(LEFT(H79,6)="Outras",K79&lt;&gt;""),"🟡 Outras fontes: confirme que o recurso existe e está comprometido. ",""))="","🟢 CONFERIDO",IF(AND(B79="",G79=""),"",IF(OR(E79="",F79=""),"🟡 Falta quantidade ou valor. ","")&amp;IF(H79="","🟡 Informe a fonte. ","")&amp;IF(K79="","🟡 Classifique a categoria de limite. ","")&amp;IF(TRIM(M79)="","🔴 Sem justificativa de vínculo: se não explica, não coloque. ","")&amp;IF(N79&lt;&gt;"Sim","🟡 Preço de mercado não conferido. ","")&amp;IF(O79="Sim","🔴 Possível DUPLA COBERTURA: a mesma despesa não pode ser paga duas vezes. ","")&amp;IF(AND(L79="Sim",K79&lt;&gt;"Remuneração do proponente"),"🟡 Pessoa vinculada: este valor SOMA no limite de remuneração do proponente. ","")&amp;IF(P79="","",IF(P79&gt;L_FORNECEDOR,"🔴 Fornecedor acima do limite sobre o valor captado (confira exceções). ",IF(P79&gt;=L_FORNECEDOR*MARGEM,"🟡 Fornecedor perto do limite. ","")))&amp;IF(AND(LEFT(K79,5)="Cachê",F79&lt;&gt;""),IF(F79&gt;IFERROR(VLOOKUP(K79,TAB_CATEGORIAS,2,FALSE),9E+99),"🔴 Cachê acima do limite: só com outras fontes ou apreciação da CNIC. ",""),"")&amp;IF(AND(LEFT(H79,6)="Outras",K79&lt;&gt;""),"🟡 Outras fontes: confirme que o recurso existe e está comprometido. ",""))))</f>
        <v/>
      </c>
    </row>
    <row r="80">
      <c r="A80" s="20" t="n"/>
      <c r="B80" s="20" t="n"/>
      <c r="C80" s="20" t="n"/>
      <c r="D80" s="20" t="n"/>
      <c r="E80" s="20" t="n"/>
      <c r="F80" s="17" t="n"/>
      <c r="G80" s="26">
        <f>IF(OR(E80="",F80=""),"",E80*F80)</f>
        <v/>
      </c>
      <c r="H80" s="20" t="n"/>
      <c r="I80" s="20" t="n"/>
      <c r="J80" s="20" t="n"/>
      <c r="K80" s="20" t="n"/>
      <c r="L80" s="20" t="n"/>
      <c r="M80" s="20" t="n"/>
      <c r="N80" s="20" t="n"/>
      <c r="O80" s="20" t="n"/>
      <c r="P80" s="27">
        <f>IF(OR(I80="",G80="",LEFT(H80,9)&lt;&gt;"Incentivo",VALOR_CAPTADO=0),"",SUMIFS($G$8:$G$207,$I$8:$I$207,I80,$H$8:$H$207,"Incentivo*")/VALOR_CAPTADO)</f>
        <v/>
      </c>
      <c r="Q80" s="21">
        <f>IF(AND(B80="",G80=""),"",IF(IF(AND(B80="",G80=""),"",IF(OR(E80="",F80=""),"🟡 Falta quantidade ou valor. ","")&amp;IF(H80="","🟡 Informe a fonte. ","")&amp;IF(K80="","🟡 Classifique a categoria de limite. ","")&amp;IF(TRIM(M80)="","🔴 Sem justificativa de vínculo: se não explica, não coloque. ","")&amp;IF(N80&lt;&gt;"Sim","🟡 Preço de mercado não conferido. ","")&amp;IF(O80="Sim","🔴 Possível DUPLA COBERTURA: a mesma despesa não pode ser paga duas vezes. ","")&amp;IF(AND(L80="Sim",K80&lt;&gt;"Remuneração do proponente"),"🟡 Pessoa vinculada: este valor SOMA no limite de remuneração do proponente. ","")&amp;IF(P80="","",IF(P80&gt;L_FORNECEDOR,"🔴 Fornecedor acima do limite sobre o valor captado (confira exceções). ",IF(P80&gt;=L_FORNECEDOR*MARGEM,"🟡 Fornecedor perto do limite. ","")))&amp;IF(AND(LEFT(K80,5)="Cachê",F80&lt;&gt;""),IF(F80&gt;IFERROR(VLOOKUP(K80,TAB_CATEGORIAS,2,FALSE),9E+99),"🔴 Cachê acima do limite: só com outras fontes ou apreciação da CNIC. ",""),"")&amp;IF(AND(LEFT(H80,6)="Outras",K80&lt;&gt;""),"🟡 Outras fontes: confirme que o recurso existe e está comprometido. ",""))="","🟢 CONFERIDO",IF(AND(B80="",G80=""),"",IF(OR(E80="",F80=""),"🟡 Falta quantidade ou valor. ","")&amp;IF(H80="","🟡 Informe a fonte. ","")&amp;IF(K80="","🟡 Classifique a categoria de limite. ","")&amp;IF(TRIM(M80)="","🔴 Sem justificativa de vínculo: se não explica, não coloque. ","")&amp;IF(N80&lt;&gt;"Sim","🟡 Preço de mercado não conferido. ","")&amp;IF(O80="Sim","🔴 Possível DUPLA COBERTURA: a mesma despesa não pode ser paga duas vezes. ","")&amp;IF(AND(L80="Sim",K80&lt;&gt;"Remuneração do proponente"),"🟡 Pessoa vinculada: este valor SOMA no limite de remuneração do proponente. ","")&amp;IF(P80="","",IF(P80&gt;L_FORNECEDOR,"🔴 Fornecedor acima do limite sobre o valor captado (confira exceções). ",IF(P80&gt;=L_FORNECEDOR*MARGEM,"🟡 Fornecedor perto do limite. ","")))&amp;IF(AND(LEFT(K80,5)="Cachê",F80&lt;&gt;""),IF(F80&gt;IFERROR(VLOOKUP(K80,TAB_CATEGORIAS,2,FALSE),9E+99),"🔴 Cachê acima do limite: só com outras fontes ou apreciação da CNIC. ",""),"")&amp;IF(AND(LEFT(H80,6)="Outras",K80&lt;&gt;""),"🟡 Outras fontes: confirme que o recurso existe e está comprometido. ",""))))</f>
        <v/>
      </c>
    </row>
    <row r="81">
      <c r="A81" s="20" t="n"/>
      <c r="B81" s="20" t="n"/>
      <c r="C81" s="20" t="n"/>
      <c r="D81" s="20" t="n"/>
      <c r="E81" s="20" t="n"/>
      <c r="F81" s="17" t="n"/>
      <c r="G81" s="26">
        <f>IF(OR(E81="",F81=""),"",E81*F81)</f>
        <v/>
      </c>
      <c r="H81" s="20" t="n"/>
      <c r="I81" s="20" t="n"/>
      <c r="J81" s="20" t="n"/>
      <c r="K81" s="20" t="n"/>
      <c r="L81" s="20" t="n"/>
      <c r="M81" s="20" t="n"/>
      <c r="N81" s="20" t="n"/>
      <c r="O81" s="20" t="n"/>
      <c r="P81" s="27">
        <f>IF(OR(I81="",G81="",LEFT(H81,9)&lt;&gt;"Incentivo",VALOR_CAPTADO=0),"",SUMIFS($G$8:$G$207,$I$8:$I$207,I81,$H$8:$H$207,"Incentivo*")/VALOR_CAPTADO)</f>
        <v/>
      </c>
      <c r="Q81" s="21">
        <f>IF(AND(B81="",G81=""),"",IF(IF(AND(B81="",G81=""),"",IF(OR(E81="",F81=""),"🟡 Falta quantidade ou valor. ","")&amp;IF(H81="","🟡 Informe a fonte. ","")&amp;IF(K81="","🟡 Classifique a categoria de limite. ","")&amp;IF(TRIM(M81)="","🔴 Sem justificativa de vínculo: se não explica, não coloque. ","")&amp;IF(N81&lt;&gt;"Sim","🟡 Preço de mercado não conferido. ","")&amp;IF(O81="Sim","🔴 Possível DUPLA COBERTURA: a mesma despesa não pode ser paga duas vezes. ","")&amp;IF(AND(L81="Sim",K81&lt;&gt;"Remuneração do proponente"),"🟡 Pessoa vinculada: este valor SOMA no limite de remuneração do proponente. ","")&amp;IF(P81="","",IF(P81&gt;L_FORNECEDOR,"🔴 Fornecedor acima do limite sobre o valor captado (confira exceções). ",IF(P81&gt;=L_FORNECEDOR*MARGEM,"🟡 Fornecedor perto do limite. ","")))&amp;IF(AND(LEFT(K81,5)="Cachê",F81&lt;&gt;""),IF(F81&gt;IFERROR(VLOOKUP(K81,TAB_CATEGORIAS,2,FALSE),9E+99),"🔴 Cachê acima do limite: só com outras fontes ou apreciação da CNIC. ",""),"")&amp;IF(AND(LEFT(H81,6)="Outras",K81&lt;&gt;""),"🟡 Outras fontes: confirme que o recurso existe e está comprometido. ",""))="","🟢 CONFERIDO",IF(AND(B81="",G81=""),"",IF(OR(E81="",F81=""),"🟡 Falta quantidade ou valor. ","")&amp;IF(H81="","🟡 Informe a fonte. ","")&amp;IF(K81="","🟡 Classifique a categoria de limite. ","")&amp;IF(TRIM(M81)="","🔴 Sem justificativa de vínculo: se não explica, não coloque. ","")&amp;IF(N81&lt;&gt;"Sim","🟡 Preço de mercado não conferido. ","")&amp;IF(O81="Sim","🔴 Possível DUPLA COBERTURA: a mesma despesa não pode ser paga duas vezes. ","")&amp;IF(AND(L81="Sim",K81&lt;&gt;"Remuneração do proponente"),"🟡 Pessoa vinculada: este valor SOMA no limite de remuneração do proponente. ","")&amp;IF(P81="","",IF(P81&gt;L_FORNECEDOR,"🔴 Fornecedor acima do limite sobre o valor captado (confira exceções). ",IF(P81&gt;=L_FORNECEDOR*MARGEM,"🟡 Fornecedor perto do limite. ","")))&amp;IF(AND(LEFT(K81,5)="Cachê",F81&lt;&gt;""),IF(F81&gt;IFERROR(VLOOKUP(K81,TAB_CATEGORIAS,2,FALSE),9E+99),"🔴 Cachê acima do limite: só com outras fontes ou apreciação da CNIC. ",""),"")&amp;IF(AND(LEFT(H81,6)="Outras",K81&lt;&gt;""),"🟡 Outras fontes: confirme que o recurso existe e está comprometido. ",""))))</f>
        <v/>
      </c>
    </row>
    <row r="82">
      <c r="A82" s="20" t="n"/>
      <c r="B82" s="20" t="n"/>
      <c r="C82" s="20" t="n"/>
      <c r="D82" s="20" t="n"/>
      <c r="E82" s="20" t="n"/>
      <c r="F82" s="17" t="n"/>
      <c r="G82" s="26">
        <f>IF(OR(E82="",F82=""),"",E82*F82)</f>
        <v/>
      </c>
      <c r="H82" s="20" t="n"/>
      <c r="I82" s="20" t="n"/>
      <c r="J82" s="20" t="n"/>
      <c r="K82" s="20" t="n"/>
      <c r="L82" s="20" t="n"/>
      <c r="M82" s="20" t="n"/>
      <c r="N82" s="20" t="n"/>
      <c r="O82" s="20" t="n"/>
      <c r="P82" s="27">
        <f>IF(OR(I82="",G82="",LEFT(H82,9)&lt;&gt;"Incentivo",VALOR_CAPTADO=0),"",SUMIFS($G$8:$G$207,$I$8:$I$207,I82,$H$8:$H$207,"Incentivo*")/VALOR_CAPTADO)</f>
        <v/>
      </c>
      <c r="Q82" s="21">
        <f>IF(AND(B82="",G82=""),"",IF(IF(AND(B82="",G82=""),"",IF(OR(E82="",F82=""),"🟡 Falta quantidade ou valor. ","")&amp;IF(H82="","🟡 Informe a fonte. ","")&amp;IF(K82="","🟡 Classifique a categoria de limite. ","")&amp;IF(TRIM(M82)="","🔴 Sem justificativa de vínculo: se não explica, não coloque. ","")&amp;IF(N82&lt;&gt;"Sim","🟡 Preço de mercado não conferido. ","")&amp;IF(O82="Sim","🔴 Possível DUPLA COBERTURA: a mesma despesa não pode ser paga duas vezes. ","")&amp;IF(AND(L82="Sim",K82&lt;&gt;"Remuneração do proponente"),"🟡 Pessoa vinculada: este valor SOMA no limite de remuneração do proponente. ","")&amp;IF(P82="","",IF(P82&gt;L_FORNECEDOR,"🔴 Fornecedor acima do limite sobre o valor captado (confira exceções). ",IF(P82&gt;=L_FORNECEDOR*MARGEM,"🟡 Fornecedor perto do limite. ","")))&amp;IF(AND(LEFT(K82,5)="Cachê",F82&lt;&gt;""),IF(F82&gt;IFERROR(VLOOKUP(K82,TAB_CATEGORIAS,2,FALSE),9E+99),"🔴 Cachê acima do limite: só com outras fontes ou apreciação da CNIC. ",""),"")&amp;IF(AND(LEFT(H82,6)="Outras",K82&lt;&gt;""),"🟡 Outras fontes: confirme que o recurso existe e está comprometido. ",""))="","🟢 CONFERIDO",IF(AND(B82="",G82=""),"",IF(OR(E82="",F82=""),"🟡 Falta quantidade ou valor. ","")&amp;IF(H82="","🟡 Informe a fonte. ","")&amp;IF(K82="","🟡 Classifique a categoria de limite. ","")&amp;IF(TRIM(M82)="","🔴 Sem justificativa de vínculo: se não explica, não coloque. ","")&amp;IF(N82&lt;&gt;"Sim","🟡 Preço de mercado não conferido. ","")&amp;IF(O82="Sim","🔴 Possível DUPLA COBERTURA: a mesma despesa não pode ser paga duas vezes. ","")&amp;IF(AND(L82="Sim",K82&lt;&gt;"Remuneração do proponente"),"🟡 Pessoa vinculada: este valor SOMA no limite de remuneração do proponente. ","")&amp;IF(P82="","",IF(P82&gt;L_FORNECEDOR,"🔴 Fornecedor acima do limite sobre o valor captado (confira exceções). ",IF(P82&gt;=L_FORNECEDOR*MARGEM,"🟡 Fornecedor perto do limite. ","")))&amp;IF(AND(LEFT(K82,5)="Cachê",F82&lt;&gt;""),IF(F82&gt;IFERROR(VLOOKUP(K82,TAB_CATEGORIAS,2,FALSE),9E+99),"🔴 Cachê acima do limite: só com outras fontes ou apreciação da CNIC. ",""),"")&amp;IF(AND(LEFT(H82,6)="Outras",K82&lt;&gt;""),"🟡 Outras fontes: confirme que o recurso existe e está comprometido. ",""))))</f>
        <v/>
      </c>
    </row>
    <row r="83">
      <c r="A83" s="20" t="n"/>
      <c r="B83" s="20" t="n"/>
      <c r="C83" s="20" t="n"/>
      <c r="D83" s="20" t="n"/>
      <c r="E83" s="20" t="n"/>
      <c r="F83" s="17" t="n"/>
      <c r="G83" s="26">
        <f>IF(OR(E83="",F83=""),"",E83*F83)</f>
        <v/>
      </c>
      <c r="H83" s="20" t="n"/>
      <c r="I83" s="20" t="n"/>
      <c r="J83" s="20" t="n"/>
      <c r="K83" s="20" t="n"/>
      <c r="L83" s="20" t="n"/>
      <c r="M83" s="20" t="n"/>
      <c r="N83" s="20" t="n"/>
      <c r="O83" s="20" t="n"/>
      <c r="P83" s="27">
        <f>IF(OR(I83="",G83="",LEFT(H83,9)&lt;&gt;"Incentivo",VALOR_CAPTADO=0),"",SUMIFS($G$8:$G$207,$I$8:$I$207,I83,$H$8:$H$207,"Incentivo*")/VALOR_CAPTADO)</f>
        <v/>
      </c>
      <c r="Q83" s="21">
        <f>IF(AND(B83="",G83=""),"",IF(IF(AND(B83="",G83=""),"",IF(OR(E83="",F83=""),"🟡 Falta quantidade ou valor. ","")&amp;IF(H83="","🟡 Informe a fonte. ","")&amp;IF(K83="","🟡 Classifique a categoria de limite. ","")&amp;IF(TRIM(M83)="","🔴 Sem justificativa de vínculo: se não explica, não coloque. ","")&amp;IF(N83&lt;&gt;"Sim","🟡 Preço de mercado não conferido. ","")&amp;IF(O83="Sim","🔴 Possível DUPLA COBERTURA: a mesma despesa não pode ser paga duas vezes. ","")&amp;IF(AND(L83="Sim",K83&lt;&gt;"Remuneração do proponente"),"🟡 Pessoa vinculada: este valor SOMA no limite de remuneração do proponente. ","")&amp;IF(P83="","",IF(P83&gt;L_FORNECEDOR,"🔴 Fornecedor acima do limite sobre o valor captado (confira exceções). ",IF(P83&gt;=L_FORNECEDOR*MARGEM,"🟡 Fornecedor perto do limite. ","")))&amp;IF(AND(LEFT(K83,5)="Cachê",F83&lt;&gt;""),IF(F83&gt;IFERROR(VLOOKUP(K83,TAB_CATEGORIAS,2,FALSE),9E+99),"🔴 Cachê acima do limite: só com outras fontes ou apreciação da CNIC. ",""),"")&amp;IF(AND(LEFT(H83,6)="Outras",K83&lt;&gt;""),"🟡 Outras fontes: confirme que o recurso existe e está comprometido. ",""))="","🟢 CONFERIDO",IF(AND(B83="",G83=""),"",IF(OR(E83="",F83=""),"🟡 Falta quantidade ou valor. ","")&amp;IF(H83="","🟡 Informe a fonte. ","")&amp;IF(K83="","🟡 Classifique a categoria de limite. ","")&amp;IF(TRIM(M83)="","🔴 Sem justificativa de vínculo: se não explica, não coloque. ","")&amp;IF(N83&lt;&gt;"Sim","🟡 Preço de mercado não conferido. ","")&amp;IF(O83="Sim","🔴 Possível DUPLA COBERTURA: a mesma despesa não pode ser paga duas vezes. ","")&amp;IF(AND(L83="Sim",K83&lt;&gt;"Remuneração do proponente"),"🟡 Pessoa vinculada: este valor SOMA no limite de remuneração do proponente. ","")&amp;IF(P83="","",IF(P83&gt;L_FORNECEDOR,"🔴 Fornecedor acima do limite sobre o valor captado (confira exceções). ",IF(P83&gt;=L_FORNECEDOR*MARGEM,"🟡 Fornecedor perto do limite. ","")))&amp;IF(AND(LEFT(K83,5)="Cachê",F83&lt;&gt;""),IF(F83&gt;IFERROR(VLOOKUP(K83,TAB_CATEGORIAS,2,FALSE),9E+99),"🔴 Cachê acima do limite: só com outras fontes ou apreciação da CNIC. ",""),"")&amp;IF(AND(LEFT(H83,6)="Outras",K83&lt;&gt;""),"🟡 Outras fontes: confirme que o recurso existe e está comprometido. ",""))))</f>
        <v/>
      </c>
    </row>
    <row r="84">
      <c r="A84" s="20" t="n"/>
      <c r="B84" s="20" t="n"/>
      <c r="C84" s="20" t="n"/>
      <c r="D84" s="20" t="n"/>
      <c r="E84" s="20" t="n"/>
      <c r="F84" s="17" t="n"/>
      <c r="G84" s="26">
        <f>IF(OR(E84="",F84=""),"",E84*F84)</f>
        <v/>
      </c>
      <c r="H84" s="20" t="n"/>
      <c r="I84" s="20" t="n"/>
      <c r="J84" s="20" t="n"/>
      <c r="K84" s="20" t="n"/>
      <c r="L84" s="20" t="n"/>
      <c r="M84" s="20" t="n"/>
      <c r="N84" s="20" t="n"/>
      <c r="O84" s="20" t="n"/>
      <c r="P84" s="27">
        <f>IF(OR(I84="",G84="",LEFT(H84,9)&lt;&gt;"Incentivo",VALOR_CAPTADO=0),"",SUMIFS($G$8:$G$207,$I$8:$I$207,I84,$H$8:$H$207,"Incentivo*")/VALOR_CAPTADO)</f>
        <v/>
      </c>
      <c r="Q84" s="21">
        <f>IF(AND(B84="",G84=""),"",IF(IF(AND(B84="",G84=""),"",IF(OR(E84="",F84=""),"🟡 Falta quantidade ou valor. ","")&amp;IF(H84="","🟡 Informe a fonte. ","")&amp;IF(K84="","🟡 Classifique a categoria de limite. ","")&amp;IF(TRIM(M84)="","🔴 Sem justificativa de vínculo: se não explica, não coloque. ","")&amp;IF(N84&lt;&gt;"Sim","🟡 Preço de mercado não conferido. ","")&amp;IF(O84="Sim","🔴 Possível DUPLA COBERTURA: a mesma despesa não pode ser paga duas vezes. ","")&amp;IF(AND(L84="Sim",K84&lt;&gt;"Remuneração do proponente"),"🟡 Pessoa vinculada: este valor SOMA no limite de remuneração do proponente. ","")&amp;IF(P84="","",IF(P84&gt;L_FORNECEDOR,"🔴 Fornecedor acima do limite sobre o valor captado (confira exceções). ",IF(P84&gt;=L_FORNECEDOR*MARGEM,"🟡 Fornecedor perto do limite. ","")))&amp;IF(AND(LEFT(K84,5)="Cachê",F84&lt;&gt;""),IF(F84&gt;IFERROR(VLOOKUP(K84,TAB_CATEGORIAS,2,FALSE),9E+99),"🔴 Cachê acima do limite: só com outras fontes ou apreciação da CNIC. ",""),"")&amp;IF(AND(LEFT(H84,6)="Outras",K84&lt;&gt;""),"🟡 Outras fontes: confirme que o recurso existe e está comprometido. ",""))="","🟢 CONFERIDO",IF(AND(B84="",G84=""),"",IF(OR(E84="",F84=""),"🟡 Falta quantidade ou valor. ","")&amp;IF(H84="","🟡 Informe a fonte. ","")&amp;IF(K84="","🟡 Classifique a categoria de limite. ","")&amp;IF(TRIM(M84)="","🔴 Sem justificativa de vínculo: se não explica, não coloque. ","")&amp;IF(N84&lt;&gt;"Sim","🟡 Preço de mercado não conferido. ","")&amp;IF(O84="Sim","🔴 Possível DUPLA COBERTURA: a mesma despesa não pode ser paga duas vezes. ","")&amp;IF(AND(L84="Sim",K84&lt;&gt;"Remuneração do proponente"),"🟡 Pessoa vinculada: este valor SOMA no limite de remuneração do proponente. ","")&amp;IF(P84="","",IF(P84&gt;L_FORNECEDOR,"🔴 Fornecedor acima do limite sobre o valor captado (confira exceções). ",IF(P84&gt;=L_FORNECEDOR*MARGEM,"🟡 Fornecedor perto do limite. ","")))&amp;IF(AND(LEFT(K84,5)="Cachê",F84&lt;&gt;""),IF(F84&gt;IFERROR(VLOOKUP(K84,TAB_CATEGORIAS,2,FALSE),9E+99),"🔴 Cachê acima do limite: só com outras fontes ou apreciação da CNIC. ",""),"")&amp;IF(AND(LEFT(H84,6)="Outras",K84&lt;&gt;""),"🟡 Outras fontes: confirme que o recurso existe e está comprometido. ",""))))</f>
        <v/>
      </c>
    </row>
    <row r="85">
      <c r="A85" s="20" t="n"/>
      <c r="B85" s="20" t="n"/>
      <c r="C85" s="20" t="n"/>
      <c r="D85" s="20" t="n"/>
      <c r="E85" s="20" t="n"/>
      <c r="F85" s="17" t="n"/>
      <c r="G85" s="26">
        <f>IF(OR(E85="",F85=""),"",E85*F85)</f>
        <v/>
      </c>
      <c r="H85" s="20" t="n"/>
      <c r="I85" s="20" t="n"/>
      <c r="J85" s="20" t="n"/>
      <c r="K85" s="20" t="n"/>
      <c r="L85" s="20" t="n"/>
      <c r="M85" s="20" t="n"/>
      <c r="N85" s="20" t="n"/>
      <c r="O85" s="20" t="n"/>
      <c r="P85" s="27">
        <f>IF(OR(I85="",G85="",LEFT(H85,9)&lt;&gt;"Incentivo",VALOR_CAPTADO=0),"",SUMIFS($G$8:$G$207,$I$8:$I$207,I85,$H$8:$H$207,"Incentivo*")/VALOR_CAPTADO)</f>
        <v/>
      </c>
      <c r="Q85" s="21">
        <f>IF(AND(B85="",G85=""),"",IF(IF(AND(B85="",G85=""),"",IF(OR(E85="",F85=""),"🟡 Falta quantidade ou valor. ","")&amp;IF(H85="","🟡 Informe a fonte. ","")&amp;IF(K85="","🟡 Classifique a categoria de limite. ","")&amp;IF(TRIM(M85)="","🔴 Sem justificativa de vínculo: se não explica, não coloque. ","")&amp;IF(N85&lt;&gt;"Sim","🟡 Preço de mercado não conferido. ","")&amp;IF(O85="Sim","🔴 Possível DUPLA COBERTURA: a mesma despesa não pode ser paga duas vezes. ","")&amp;IF(AND(L85="Sim",K85&lt;&gt;"Remuneração do proponente"),"🟡 Pessoa vinculada: este valor SOMA no limite de remuneração do proponente. ","")&amp;IF(P85="","",IF(P85&gt;L_FORNECEDOR,"🔴 Fornecedor acima do limite sobre o valor captado (confira exceções). ",IF(P85&gt;=L_FORNECEDOR*MARGEM,"🟡 Fornecedor perto do limite. ","")))&amp;IF(AND(LEFT(K85,5)="Cachê",F85&lt;&gt;""),IF(F85&gt;IFERROR(VLOOKUP(K85,TAB_CATEGORIAS,2,FALSE),9E+99),"🔴 Cachê acima do limite: só com outras fontes ou apreciação da CNIC. ",""),"")&amp;IF(AND(LEFT(H85,6)="Outras",K85&lt;&gt;""),"🟡 Outras fontes: confirme que o recurso existe e está comprometido. ",""))="","🟢 CONFERIDO",IF(AND(B85="",G85=""),"",IF(OR(E85="",F85=""),"🟡 Falta quantidade ou valor. ","")&amp;IF(H85="","🟡 Informe a fonte. ","")&amp;IF(K85="","🟡 Classifique a categoria de limite. ","")&amp;IF(TRIM(M85)="","🔴 Sem justificativa de vínculo: se não explica, não coloque. ","")&amp;IF(N85&lt;&gt;"Sim","🟡 Preço de mercado não conferido. ","")&amp;IF(O85="Sim","🔴 Possível DUPLA COBERTURA: a mesma despesa não pode ser paga duas vezes. ","")&amp;IF(AND(L85="Sim",K85&lt;&gt;"Remuneração do proponente"),"🟡 Pessoa vinculada: este valor SOMA no limite de remuneração do proponente. ","")&amp;IF(P85="","",IF(P85&gt;L_FORNECEDOR,"🔴 Fornecedor acima do limite sobre o valor captado (confira exceções). ",IF(P85&gt;=L_FORNECEDOR*MARGEM,"🟡 Fornecedor perto do limite. ","")))&amp;IF(AND(LEFT(K85,5)="Cachê",F85&lt;&gt;""),IF(F85&gt;IFERROR(VLOOKUP(K85,TAB_CATEGORIAS,2,FALSE),9E+99),"🔴 Cachê acima do limite: só com outras fontes ou apreciação da CNIC. ",""),"")&amp;IF(AND(LEFT(H85,6)="Outras",K85&lt;&gt;""),"🟡 Outras fontes: confirme que o recurso existe e está comprometido. ",""))))</f>
        <v/>
      </c>
    </row>
    <row r="86">
      <c r="A86" s="20" t="n"/>
      <c r="B86" s="20" t="n"/>
      <c r="C86" s="20" t="n"/>
      <c r="D86" s="20" t="n"/>
      <c r="E86" s="20" t="n"/>
      <c r="F86" s="17" t="n"/>
      <c r="G86" s="26">
        <f>IF(OR(E86="",F86=""),"",E86*F86)</f>
        <v/>
      </c>
      <c r="H86" s="20" t="n"/>
      <c r="I86" s="20" t="n"/>
      <c r="J86" s="20" t="n"/>
      <c r="K86" s="20" t="n"/>
      <c r="L86" s="20" t="n"/>
      <c r="M86" s="20" t="n"/>
      <c r="N86" s="20" t="n"/>
      <c r="O86" s="20" t="n"/>
      <c r="P86" s="27">
        <f>IF(OR(I86="",G86="",LEFT(H86,9)&lt;&gt;"Incentivo",VALOR_CAPTADO=0),"",SUMIFS($G$8:$G$207,$I$8:$I$207,I86,$H$8:$H$207,"Incentivo*")/VALOR_CAPTADO)</f>
        <v/>
      </c>
      <c r="Q86" s="21">
        <f>IF(AND(B86="",G86=""),"",IF(IF(AND(B86="",G86=""),"",IF(OR(E86="",F86=""),"🟡 Falta quantidade ou valor. ","")&amp;IF(H86="","🟡 Informe a fonte. ","")&amp;IF(K86="","🟡 Classifique a categoria de limite. ","")&amp;IF(TRIM(M86)="","🔴 Sem justificativa de vínculo: se não explica, não coloque. ","")&amp;IF(N86&lt;&gt;"Sim","🟡 Preço de mercado não conferido. ","")&amp;IF(O86="Sim","🔴 Possível DUPLA COBERTURA: a mesma despesa não pode ser paga duas vezes. ","")&amp;IF(AND(L86="Sim",K86&lt;&gt;"Remuneração do proponente"),"🟡 Pessoa vinculada: este valor SOMA no limite de remuneração do proponente. ","")&amp;IF(P86="","",IF(P86&gt;L_FORNECEDOR,"🔴 Fornecedor acima do limite sobre o valor captado (confira exceções). ",IF(P86&gt;=L_FORNECEDOR*MARGEM,"🟡 Fornecedor perto do limite. ","")))&amp;IF(AND(LEFT(K86,5)="Cachê",F86&lt;&gt;""),IF(F86&gt;IFERROR(VLOOKUP(K86,TAB_CATEGORIAS,2,FALSE),9E+99),"🔴 Cachê acima do limite: só com outras fontes ou apreciação da CNIC. ",""),"")&amp;IF(AND(LEFT(H86,6)="Outras",K86&lt;&gt;""),"🟡 Outras fontes: confirme que o recurso existe e está comprometido. ",""))="","🟢 CONFERIDO",IF(AND(B86="",G86=""),"",IF(OR(E86="",F86=""),"🟡 Falta quantidade ou valor. ","")&amp;IF(H86="","🟡 Informe a fonte. ","")&amp;IF(K86="","🟡 Classifique a categoria de limite. ","")&amp;IF(TRIM(M86)="","🔴 Sem justificativa de vínculo: se não explica, não coloque. ","")&amp;IF(N86&lt;&gt;"Sim","🟡 Preço de mercado não conferido. ","")&amp;IF(O86="Sim","🔴 Possível DUPLA COBERTURA: a mesma despesa não pode ser paga duas vezes. ","")&amp;IF(AND(L86="Sim",K86&lt;&gt;"Remuneração do proponente"),"🟡 Pessoa vinculada: este valor SOMA no limite de remuneração do proponente. ","")&amp;IF(P86="","",IF(P86&gt;L_FORNECEDOR,"🔴 Fornecedor acima do limite sobre o valor captado (confira exceções). ",IF(P86&gt;=L_FORNECEDOR*MARGEM,"🟡 Fornecedor perto do limite. ","")))&amp;IF(AND(LEFT(K86,5)="Cachê",F86&lt;&gt;""),IF(F86&gt;IFERROR(VLOOKUP(K86,TAB_CATEGORIAS,2,FALSE),9E+99),"🔴 Cachê acima do limite: só com outras fontes ou apreciação da CNIC. ",""),"")&amp;IF(AND(LEFT(H86,6)="Outras",K86&lt;&gt;""),"🟡 Outras fontes: confirme que o recurso existe e está comprometido. ",""))))</f>
        <v/>
      </c>
    </row>
    <row r="87">
      <c r="A87" s="20" t="n"/>
      <c r="B87" s="20" t="n"/>
      <c r="C87" s="20" t="n"/>
      <c r="D87" s="20" t="n"/>
      <c r="E87" s="20" t="n"/>
      <c r="F87" s="17" t="n"/>
      <c r="G87" s="26">
        <f>IF(OR(E87="",F87=""),"",E87*F87)</f>
        <v/>
      </c>
      <c r="H87" s="20" t="n"/>
      <c r="I87" s="20" t="n"/>
      <c r="J87" s="20" t="n"/>
      <c r="K87" s="20" t="n"/>
      <c r="L87" s="20" t="n"/>
      <c r="M87" s="20" t="n"/>
      <c r="N87" s="20" t="n"/>
      <c r="O87" s="20" t="n"/>
      <c r="P87" s="27">
        <f>IF(OR(I87="",G87="",LEFT(H87,9)&lt;&gt;"Incentivo",VALOR_CAPTADO=0),"",SUMIFS($G$8:$G$207,$I$8:$I$207,I87,$H$8:$H$207,"Incentivo*")/VALOR_CAPTADO)</f>
        <v/>
      </c>
      <c r="Q87" s="21">
        <f>IF(AND(B87="",G87=""),"",IF(IF(AND(B87="",G87=""),"",IF(OR(E87="",F87=""),"🟡 Falta quantidade ou valor. ","")&amp;IF(H87="","🟡 Informe a fonte. ","")&amp;IF(K87="","🟡 Classifique a categoria de limite. ","")&amp;IF(TRIM(M87)="","🔴 Sem justificativa de vínculo: se não explica, não coloque. ","")&amp;IF(N87&lt;&gt;"Sim","🟡 Preço de mercado não conferido. ","")&amp;IF(O87="Sim","🔴 Possível DUPLA COBERTURA: a mesma despesa não pode ser paga duas vezes. ","")&amp;IF(AND(L87="Sim",K87&lt;&gt;"Remuneração do proponente"),"🟡 Pessoa vinculada: este valor SOMA no limite de remuneração do proponente. ","")&amp;IF(P87="","",IF(P87&gt;L_FORNECEDOR,"🔴 Fornecedor acima do limite sobre o valor captado (confira exceções). ",IF(P87&gt;=L_FORNECEDOR*MARGEM,"🟡 Fornecedor perto do limite. ","")))&amp;IF(AND(LEFT(K87,5)="Cachê",F87&lt;&gt;""),IF(F87&gt;IFERROR(VLOOKUP(K87,TAB_CATEGORIAS,2,FALSE),9E+99),"🔴 Cachê acima do limite: só com outras fontes ou apreciação da CNIC. ",""),"")&amp;IF(AND(LEFT(H87,6)="Outras",K87&lt;&gt;""),"🟡 Outras fontes: confirme que o recurso existe e está comprometido. ",""))="","🟢 CONFERIDO",IF(AND(B87="",G87=""),"",IF(OR(E87="",F87=""),"🟡 Falta quantidade ou valor. ","")&amp;IF(H87="","🟡 Informe a fonte. ","")&amp;IF(K87="","🟡 Classifique a categoria de limite. ","")&amp;IF(TRIM(M87)="","🔴 Sem justificativa de vínculo: se não explica, não coloque. ","")&amp;IF(N87&lt;&gt;"Sim","🟡 Preço de mercado não conferido. ","")&amp;IF(O87="Sim","🔴 Possível DUPLA COBERTURA: a mesma despesa não pode ser paga duas vezes. ","")&amp;IF(AND(L87="Sim",K87&lt;&gt;"Remuneração do proponente"),"🟡 Pessoa vinculada: este valor SOMA no limite de remuneração do proponente. ","")&amp;IF(P87="","",IF(P87&gt;L_FORNECEDOR,"🔴 Fornecedor acima do limite sobre o valor captado (confira exceções). ",IF(P87&gt;=L_FORNECEDOR*MARGEM,"🟡 Fornecedor perto do limite. ","")))&amp;IF(AND(LEFT(K87,5)="Cachê",F87&lt;&gt;""),IF(F87&gt;IFERROR(VLOOKUP(K87,TAB_CATEGORIAS,2,FALSE),9E+99),"🔴 Cachê acima do limite: só com outras fontes ou apreciação da CNIC. ",""),"")&amp;IF(AND(LEFT(H87,6)="Outras",K87&lt;&gt;""),"🟡 Outras fontes: confirme que o recurso existe e está comprometido. ",""))))</f>
        <v/>
      </c>
    </row>
    <row r="88">
      <c r="A88" s="20" t="n"/>
      <c r="B88" s="20" t="n"/>
      <c r="C88" s="20" t="n"/>
      <c r="D88" s="20" t="n"/>
      <c r="E88" s="20" t="n"/>
      <c r="F88" s="17" t="n"/>
      <c r="G88" s="26">
        <f>IF(OR(E88="",F88=""),"",E88*F88)</f>
        <v/>
      </c>
      <c r="H88" s="20" t="n"/>
      <c r="I88" s="20" t="n"/>
      <c r="J88" s="20" t="n"/>
      <c r="K88" s="20" t="n"/>
      <c r="L88" s="20" t="n"/>
      <c r="M88" s="20" t="n"/>
      <c r="N88" s="20" t="n"/>
      <c r="O88" s="20" t="n"/>
      <c r="P88" s="27">
        <f>IF(OR(I88="",G88="",LEFT(H88,9)&lt;&gt;"Incentivo",VALOR_CAPTADO=0),"",SUMIFS($G$8:$G$207,$I$8:$I$207,I88,$H$8:$H$207,"Incentivo*")/VALOR_CAPTADO)</f>
        <v/>
      </c>
      <c r="Q88" s="21">
        <f>IF(AND(B88="",G88=""),"",IF(IF(AND(B88="",G88=""),"",IF(OR(E88="",F88=""),"🟡 Falta quantidade ou valor. ","")&amp;IF(H88="","🟡 Informe a fonte. ","")&amp;IF(K88="","🟡 Classifique a categoria de limite. ","")&amp;IF(TRIM(M88)="","🔴 Sem justificativa de vínculo: se não explica, não coloque. ","")&amp;IF(N88&lt;&gt;"Sim","🟡 Preço de mercado não conferido. ","")&amp;IF(O88="Sim","🔴 Possível DUPLA COBERTURA: a mesma despesa não pode ser paga duas vezes. ","")&amp;IF(AND(L88="Sim",K88&lt;&gt;"Remuneração do proponente"),"🟡 Pessoa vinculada: este valor SOMA no limite de remuneração do proponente. ","")&amp;IF(P88="","",IF(P88&gt;L_FORNECEDOR,"🔴 Fornecedor acima do limite sobre o valor captado (confira exceções). ",IF(P88&gt;=L_FORNECEDOR*MARGEM,"🟡 Fornecedor perto do limite. ","")))&amp;IF(AND(LEFT(K88,5)="Cachê",F88&lt;&gt;""),IF(F88&gt;IFERROR(VLOOKUP(K88,TAB_CATEGORIAS,2,FALSE),9E+99),"🔴 Cachê acima do limite: só com outras fontes ou apreciação da CNIC. ",""),"")&amp;IF(AND(LEFT(H88,6)="Outras",K88&lt;&gt;""),"🟡 Outras fontes: confirme que o recurso existe e está comprometido. ",""))="","🟢 CONFERIDO",IF(AND(B88="",G88=""),"",IF(OR(E88="",F88=""),"🟡 Falta quantidade ou valor. ","")&amp;IF(H88="","🟡 Informe a fonte. ","")&amp;IF(K88="","🟡 Classifique a categoria de limite. ","")&amp;IF(TRIM(M88)="","🔴 Sem justificativa de vínculo: se não explica, não coloque. ","")&amp;IF(N88&lt;&gt;"Sim","🟡 Preço de mercado não conferido. ","")&amp;IF(O88="Sim","🔴 Possível DUPLA COBERTURA: a mesma despesa não pode ser paga duas vezes. ","")&amp;IF(AND(L88="Sim",K88&lt;&gt;"Remuneração do proponente"),"🟡 Pessoa vinculada: este valor SOMA no limite de remuneração do proponente. ","")&amp;IF(P88="","",IF(P88&gt;L_FORNECEDOR,"🔴 Fornecedor acima do limite sobre o valor captado (confira exceções). ",IF(P88&gt;=L_FORNECEDOR*MARGEM,"🟡 Fornecedor perto do limite. ","")))&amp;IF(AND(LEFT(K88,5)="Cachê",F88&lt;&gt;""),IF(F88&gt;IFERROR(VLOOKUP(K88,TAB_CATEGORIAS,2,FALSE),9E+99),"🔴 Cachê acima do limite: só com outras fontes ou apreciação da CNIC. ",""),"")&amp;IF(AND(LEFT(H88,6)="Outras",K88&lt;&gt;""),"🟡 Outras fontes: confirme que o recurso existe e está comprometido. ",""))))</f>
        <v/>
      </c>
    </row>
    <row r="89">
      <c r="A89" s="20" t="n"/>
      <c r="B89" s="20" t="n"/>
      <c r="C89" s="20" t="n"/>
      <c r="D89" s="20" t="n"/>
      <c r="E89" s="20" t="n"/>
      <c r="F89" s="17" t="n"/>
      <c r="G89" s="26">
        <f>IF(OR(E89="",F89=""),"",E89*F89)</f>
        <v/>
      </c>
      <c r="H89" s="20" t="n"/>
      <c r="I89" s="20" t="n"/>
      <c r="J89" s="20" t="n"/>
      <c r="K89" s="20" t="n"/>
      <c r="L89" s="20" t="n"/>
      <c r="M89" s="20" t="n"/>
      <c r="N89" s="20" t="n"/>
      <c r="O89" s="20" t="n"/>
      <c r="P89" s="27">
        <f>IF(OR(I89="",G89="",LEFT(H89,9)&lt;&gt;"Incentivo",VALOR_CAPTADO=0),"",SUMIFS($G$8:$G$207,$I$8:$I$207,I89,$H$8:$H$207,"Incentivo*")/VALOR_CAPTADO)</f>
        <v/>
      </c>
      <c r="Q89" s="21">
        <f>IF(AND(B89="",G89=""),"",IF(IF(AND(B89="",G89=""),"",IF(OR(E89="",F89=""),"🟡 Falta quantidade ou valor. ","")&amp;IF(H89="","🟡 Informe a fonte. ","")&amp;IF(K89="","🟡 Classifique a categoria de limite. ","")&amp;IF(TRIM(M89)="","🔴 Sem justificativa de vínculo: se não explica, não coloque. ","")&amp;IF(N89&lt;&gt;"Sim","🟡 Preço de mercado não conferido. ","")&amp;IF(O89="Sim","🔴 Possível DUPLA COBERTURA: a mesma despesa não pode ser paga duas vezes. ","")&amp;IF(AND(L89="Sim",K89&lt;&gt;"Remuneração do proponente"),"🟡 Pessoa vinculada: este valor SOMA no limite de remuneração do proponente. ","")&amp;IF(P89="","",IF(P89&gt;L_FORNECEDOR,"🔴 Fornecedor acima do limite sobre o valor captado (confira exceções). ",IF(P89&gt;=L_FORNECEDOR*MARGEM,"🟡 Fornecedor perto do limite. ","")))&amp;IF(AND(LEFT(K89,5)="Cachê",F89&lt;&gt;""),IF(F89&gt;IFERROR(VLOOKUP(K89,TAB_CATEGORIAS,2,FALSE),9E+99),"🔴 Cachê acima do limite: só com outras fontes ou apreciação da CNIC. ",""),"")&amp;IF(AND(LEFT(H89,6)="Outras",K89&lt;&gt;""),"🟡 Outras fontes: confirme que o recurso existe e está comprometido. ",""))="","🟢 CONFERIDO",IF(AND(B89="",G89=""),"",IF(OR(E89="",F89=""),"🟡 Falta quantidade ou valor. ","")&amp;IF(H89="","🟡 Informe a fonte. ","")&amp;IF(K89="","🟡 Classifique a categoria de limite. ","")&amp;IF(TRIM(M89)="","🔴 Sem justificativa de vínculo: se não explica, não coloque. ","")&amp;IF(N89&lt;&gt;"Sim","🟡 Preço de mercado não conferido. ","")&amp;IF(O89="Sim","🔴 Possível DUPLA COBERTURA: a mesma despesa não pode ser paga duas vezes. ","")&amp;IF(AND(L89="Sim",K89&lt;&gt;"Remuneração do proponente"),"🟡 Pessoa vinculada: este valor SOMA no limite de remuneração do proponente. ","")&amp;IF(P89="","",IF(P89&gt;L_FORNECEDOR,"🔴 Fornecedor acima do limite sobre o valor captado (confira exceções). ",IF(P89&gt;=L_FORNECEDOR*MARGEM,"🟡 Fornecedor perto do limite. ","")))&amp;IF(AND(LEFT(K89,5)="Cachê",F89&lt;&gt;""),IF(F89&gt;IFERROR(VLOOKUP(K89,TAB_CATEGORIAS,2,FALSE),9E+99),"🔴 Cachê acima do limite: só com outras fontes ou apreciação da CNIC. ",""),"")&amp;IF(AND(LEFT(H89,6)="Outras",K89&lt;&gt;""),"🟡 Outras fontes: confirme que o recurso existe e está comprometido. ",""))))</f>
        <v/>
      </c>
    </row>
    <row r="90">
      <c r="A90" s="20" t="n"/>
      <c r="B90" s="20" t="n"/>
      <c r="C90" s="20" t="n"/>
      <c r="D90" s="20" t="n"/>
      <c r="E90" s="20" t="n"/>
      <c r="F90" s="17" t="n"/>
      <c r="G90" s="26">
        <f>IF(OR(E90="",F90=""),"",E90*F90)</f>
        <v/>
      </c>
      <c r="H90" s="20" t="n"/>
      <c r="I90" s="20" t="n"/>
      <c r="J90" s="20" t="n"/>
      <c r="K90" s="20" t="n"/>
      <c r="L90" s="20" t="n"/>
      <c r="M90" s="20" t="n"/>
      <c r="N90" s="20" t="n"/>
      <c r="O90" s="20" t="n"/>
      <c r="P90" s="27">
        <f>IF(OR(I90="",G90="",LEFT(H90,9)&lt;&gt;"Incentivo",VALOR_CAPTADO=0),"",SUMIFS($G$8:$G$207,$I$8:$I$207,I90,$H$8:$H$207,"Incentivo*")/VALOR_CAPTADO)</f>
        <v/>
      </c>
      <c r="Q90" s="21">
        <f>IF(AND(B90="",G90=""),"",IF(IF(AND(B90="",G90=""),"",IF(OR(E90="",F90=""),"🟡 Falta quantidade ou valor. ","")&amp;IF(H90="","🟡 Informe a fonte. ","")&amp;IF(K90="","🟡 Classifique a categoria de limite. ","")&amp;IF(TRIM(M90)="","🔴 Sem justificativa de vínculo: se não explica, não coloque. ","")&amp;IF(N90&lt;&gt;"Sim","🟡 Preço de mercado não conferido. ","")&amp;IF(O90="Sim","🔴 Possível DUPLA COBERTURA: a mesma despesa não pode ser paga duas vezes. ","")&amp;IF(AND(L90="Sim",K90&lt;&gt;"Remuneração do proponente"),"🟡 Pessoa vinculada: este valor SOMA no limite de remuneração do proponente. ","")&amp;IF(P90="","",IF(P90&gt;L_FORNECEDOR,"🔴 Fornecedor acima do limite sobre o valor captado (confira exceções). ",IF(P90&gt;=L_FORNECEDOR*MARGEM,"🟡 Fornecedor perto do limite. ","")))&amp;IF(AND(LEFT(K90,5)="Cachê",F90&lt;&gt;""),IF(F90&gt;IFERROR(VLOOKUP(K90,TAB_CATEGORIAS,2,FALSE),9E+99),"🔴 Cachê acima do limite: só com outras fontes ou apreciação da CNIC. ",""),"")&amp;IF(AND(LEFT(H90,6)="Outras",K90&lt;&gt;""),"🟡 Outras fontes: confirme que o recurso existe e está comprometido. ",""))="","🟢 CONFERIDO",IF(AND(B90="",G90=""),"",IF(OR(E90="",F90=""),"🟡 Falta quantidade ou valor. ","")&amp;IF(H90="","🟡 Informe a fonte. ","")&amp;IF(K90="","🟡 Classifique a categoria de limite. ","")&amp;IF(TRIM(M90)="","🔴 Sem justificativa de vínculo: se não explica, não coloque. ","")&amp;IF(N90&lt;&gt;"Sim","🟡 Preço de mercado não conferido. ","")&amp;IF(O90="Sim","🔴 Possível DUPLA COBERTURA: a mesma despesa não pode ser paga duas vezes. ","")&amp;IF(AND(L90="Sim",K90&lt;&gt;"Remuneração do proponente"),"🟡 Pessoa vinculada: este valor SOMA no limite de remuneração do proponente. ","")&amp;IF(P90="","",IF(P90&gt;L_FORNECEDOR,"🔴 Fornecedor acima do limite sobre o valor captado (confira exceções). ",IF(P90&gt;=L_FORNECEDOR*MARGEM,"🟡 Fornecedor perto do limite. ","")))&amp;IF(AND(LEFT(K90,5)="Cachê",F90&lt;&gt;""),IF(F90&gt;IFERROR(VLOOKUP(K90,TAB_CATEGORIAS,2,FALSE),9E+99),"🔴 Cachê acima do limite: só com outras fontes ou apreciação da CNIC. ",""),"")&amp;IF(AND(LEFT(H90,6)="Outras",K90&lt;&gt;""),"🟡 Outras fontes: confirme que o recurso existe e está comprometido. ",""))))</f>
        <v/>
      </c>
    </row>
    <row r="91">
      <c r="A91" s="20" t="n"/>
      <c r="B91" s="20" t="n"/>
      <c r="C91" s="20" t="n"/>
      <c r="D91" s="20" t="n"/>
      <c r="E91" s="20" t="n"/>
      <c r="F91" s="17" t="n"/>
      <c r="G91" s="26">
        <f>IF(OR(E91="",F91=""),"",E91*F91)</f>
        <v/>
      </c>
      <c r="H91" s="20" t="n"/>
      <c r="I91" s="20" t="n"/>
      <c r="J91" s="20" t="n"/>
      <c r="K91" s="20" t="n"/>
      <c r="L91" s="20" t="n"/>
      <c r="M91" s="20" t="n"/>
      <c r="N91" s="20" t="n"/>
      <c r="O91" s="20" t="n"/>
      <c r="P91" s="27">
        <f>IF(OR(I91="",G91="",LEFT(H91,9)&lt;&gt;"Incentivo",VALOR_CAPTADO=0),"",SUMIFS($G$8:$G$207,$I$8:$I$207,I91,$H$8:$H$207,"Incentivo*")/VALOR_CAPTADO)</f>
        <v/>
      </c>
      <c r="Q91" s="21">
        <f>IF(AND(B91="",G91=""),"",IF(IF(AND(B91="",G91=""),"",IF(OR(E91="",F91=""),"🟡 Falta quantidade ou valor. ","")&amp;IF(H91="","🟡 Informe a fonte. ","")&amp;IF(K91="","🟡 Classifique a categoria de limite. ","")&amp;IF(TRIM(M91)="","🔴 Sem justificativa de vínculo: se não explica, não coloque. ","")&amp;IF(N91&lt;&gt;"Sim","🟡 Preço de mercado não conferido. ","")&amp;IF(O91="Sim","🔴 Possível DUPLA COBERTURA: a mesma despesa não pode ser paga duas vezes. ","")&amp;IF(AND(L91="Sim",K91&lt;&gt;"Remuneração do proponente"),"🟡 Pessoa vinculada: este valor SOMA no limite de remuneração do proponente. ","")&amp;IF(P91="","",IF(P91&gt;L_FORNECEDOR,"🔴 Fornecedor acima do limite sobre o valor captado (confira exceções). ",IF(P91&gt;=L_FORNECEDOR*MARGEM,"🟡 Fornecedor perto do limite. ","")))&amp;IF(AND(LEFT(K91,5)="Cachê",F91&lt;&gt;""),IF(F91&gt;IFERROR(VLOOKUP(K91,TAB_CATEGORIAS,2,FALSE),9E+99),"🔴 Cachê acima do limite: só com outras fontes ou apreciação da CNIC. ",""),"")&amp;IF(AND(LEFT(H91,6)="Outras",K91&lt;&gt;""),"🟡 Outras fontes: confirme que o recurso existe e está comprometido. ",""))="","🟢 CONFERIDO",IF(AND(B91="",G91=""),"",IF(OR(E91="",F91=""),"🟡 Falta quantidade ou valor. ","")&amp;IF(H91="","🟡 Informe a fonte. ","")&amp;IF(K91="","🟡 Classifique a categoria de limite. ","")&amp;IF(TRIM(M91)="","🔴 Sem justificativa de vínculo: se não explica, não coloque. ","")&amp;IF(N91&lt;&gt;"Sim","🟡 Preço de mercado não conferido. ","")&amp;IF(O91="Sim","🔴 Possível DUPLA COBERTURA: a mesma despesa não pode ser paga duas vezes. ","")&amp;IF(AND(L91="Sim",K91&lt;&gt;"Remuneração do proponente"),"🟡 Pessoa vinculada: este valor SOMA no limite de remuneração do proponente. ","")&amp;IF(P91="","",IF(P91&gt;L_FORNECEDOR,"🔴 Fornecedor acima do limite sobre o valor captado (confira exceções). ",IF(P91&gt;=L_FORNECEDOR*MARGEM,"🟡 Fornecedor perto do limite. ","")))&amp;IF(AND(LEFT(K91,5)="Cachê",F91&lt;&gt;""),IF(F91&gt;IFERROR(VLOOKUP(K91,TAB_CATEGORIAS,2,FALSE),9E+99),"🔴 Cachê acima do limite: só com outras fontes ou apreciação da CNIC. ",""),"")&amp;IF(AND(LEFT(H91,6)="Outras",K91&lt;&gt;""),"🟡 Outras fontes: confirme que o recurso existe e está comprometido. ",""))))</f>
        <v/>
      </c>
    </row>
    <row r="92">
      <c r="A92" s="20" t="n"/>
      <c r="B92" s="20" t="n"/>
      <c r="C92" s="20" t="n"/>
      <c r="D92" s="20" t="n"/>
      <c r="E92" s="20" t="n"/>
      <c r="F92" s="17" t="n"/>
      <c r="G92" s="26">
        <f>IF(OR(E92="",F92=""),"",E92*F92)</f>
        <v/>
      </c>
      <c r="H92" s="20" t="n"/>
      <c r="I92" s="20" t="n"/>
      <c r="J92" s="20" t="n"/>
      <c r="K92" s="20" t="n"/>
      <c r="L92" s="20" t="n"/>
      <c r="M92" s="20" t="n"/>
      <c r="N92" s="20" t="n"/>
      <c r="O92" s="20" t="n"/>
      <c r="P92" s="27">
        <f>IF(OR(I92="",G92="",LEFT(H92,9)&lt;&gt;"Incentivo",VALOR_CAPTADO=0),"",SUMIFS($G$8:$G$207,$I$8:$I$207,I92,$H$8:$H$207,"Incentivo*")/VALOR_CAPTADO)</f>
        <v/>
      </c>
      <c r="Q92" s="21">
        <f>IF(AND(B92="",G92=""),"",IF(IF(AND(B92="",G92=""),"",IF(OR(E92="",F92=""),"🟡 Falta quantidade ou valor. ","")&amp;IF(H92="","🟡 Informe a fonte. ","")&amp;IF(K92="","🟡 Classifique a categoria de limite. ","")&amp;IF(TRIM(M92)="","🔴 Sem justificativa de vínculo: se não explica, não coloque. ","")&amp;IF(N92&lt;&gt;"Sim","🟡 Preço de mercado não conferido. ","")&amp;IF(O92="Sim","🔴 Possível DUPLA COBERTURA: a mesma despesa não pode ser paga duas vezes. ","")&amp;IF(AND(L92="Sim",K92&lt;&gt;"Remuneração do proponente"),"🟡 Pessoa vinculada: este valor SOMA no limite de remuneração do proponente. ","")&amp;IF(P92="","",IF(P92&gt;L_FORNECEDOR,"🔴 Fornecedor acima do limite sobre o valor captado (confira exceções). ",IF(P92&gt;=L_FORNECEDOR*MARGEM,"🟡 Fornecedor perto do limite. ","")))&amp;IF(AND(LEFT(K92,5)="Cachê",F92&lt;&gt;""),IF(F92&gt;IFERROR(VLOOKUP(K92,TAB_CATEGORIAS,2,FALSE),9E+99),"🔴 Cachê acima do limite: só com outras fontes ou apreciação da CNIC. ",""),"")&amp;IF(AND(LEFT(H92,6)="Outras",K92&lt;&gt;""),"🟡 Outras fontes: confirme que o recurso existe e está comprometido. ",""))="","🟢 CONFERIDO",IF(AND(B92="",G92=""),"",IF(OR(E92="",F92=""),"🟡 Falta quantidade ou valor. ","")&amp;IF(H92="","🟡 Informe a fonte. ","")&amp;IF(K92="","🟡 Classifique a categoria de limite. ","")&amp;IF(TRIM(M92)="","🔴 Sem justificativa de vínculo: se não explica, não coloque. ","")&amp;IF(N92&lt;&gt;"Sim","🟡 Preço de mercado não conferido. ","")&amp;IF(O92="Sim","🔴 Possível DUPLA COBERTURA: a mesma despesa não pode ser paga duas vezes. ","")&amp;IF(AND(L92="Sim",K92&lt;&gt;"Remuneração do proponente"),"🟡 Pessoa vinculada: este valor SOMA no limite de remuneração do proponente. ","")&amp;IF(P92="","",IF(P92&gt;L_FORNECEDOR,"🔴 Fornecedor acima do limite sobre o valor captado (confira exceções). ",IF(P92&gt;=L_FORNECEDOR*MARGEM,"🟡 Fornecedor perto do limite. ","")))&amp;IF(AND(LEFT(K92,5)="Cachê",F92&lt;&gt;""),IF(F92&gt;IFERROR(VLOOKUP(K92,TAB_CATEGORIAS,2,FALSE),9E+99),"🔴 Cachê acima do limite: só com outras fontes ou apreciação da CNIC. ",""),"")&amp;IF(AND(LEFT(H92,6)="Outras",K92&lt;&gt;""),"🟡 Outras fontes: confirme que o recurso existe e está comprometido. ",""))))</f>
        <v/>
      </c>
    </row>
    <row r="93">
      <c r="A93" s="20" t="n"/>
      <c r="B93" s="20" t="n"/>
      <c r="C93" s="20" t="n"/>
      <c r="D93" s="20" t="n"/>
      <c r="E93" s="20" t="n"/>
      <c r="F93" s="17" t="n"/>
      <c r="G93" s="26">
        <f>IF(OR(E93="",F93=""),"",E93*F93)</f>
        <v/>
      </c>
      <c r="H93" s="20" t="n"/>
      <c r="I93" s="20" t="n"/>
      <c r="J93" s="20" t="n"/>
      <c r="K93" s="20" t="n"/>
      <c r="L93" s="20" t="n"/>
      <c r="M93" s="20" t="n"/>
      <c r="N93" s="20" t="n"/>
      <c r="O93" s="20" t="n"/>
      <c r="P93" s="27">
        <f>IF(OR(I93="",G93="",LEFT(H93,9)&lt;&gt;"Incentivo",VALOR_CAPTADO=0),"",SUMIFS($G$8:$G$207,$I$8:$I$207,I93,$H$8:$H$207,"Incentivo*")/VALOR_CAPTADO)</f>
        <v/>
      </c>
      <c r="Q93" s="21">
        <f>IF(AND(B93="",G93=""),"",IF(IF(AND(B93="",G93=""),"",IF(OR(E93="",F93=""),"🟡 Falta quantidade ou valor. ","")&amp;IF(H93="","🟡 Informe a fonte. ","")&amp;IF(K93="","🟡 Classifique a categoria de limite. ","")&amp;IF(TRIM(M93)="","🔴 Sem justificativa de vínculo: se não explica, não coloque. ","")&amp;IF(N93&lt;&gt;"Sim","🟡 Preço de mercado não conferido. ","")&amp;IF(O93="Sim","🔴 Possível DUPLA COBERTURA: a mesma despesa não pode ser paga duas vezes. ","")&amp;IF(AND(L93="Sim",K93&lt;&gt;"Remuneração do proponente"),"🟡 Pessoa vinculada: este valor SOMA no limite de remuneração do proponente. ","")&amp;IF(P93="","",IF(P93&gt;L_FORNECEDOR,"🔴 Fornecedor acima do limite sobre o valor captado (confira exceções). ",IF(P93&gt;=L_FORNECEDOR*MARGEM,"🟡 Fornecedor perto do limite. ","")))&amp;IF(AND(LEFT(K93,5)="Cachê",F93&lt;&gt;""),IF(F93&gt;IFERROR(VLOOKUP(K93,TAB_CATEGORIAS,2,FALSE),9E+99),"🔴 Cachê acima do limite: só com outras fontes ou apreciação da CNIC. ",""),"")&amp;IF(AND(LEFT(H93,6)="Outras",K93&lt;&gt;""),"🟡 Outras fontes: confirme que o recurso existe e está comprometido. ",""))="","🟢 CONFERIDO",IF(AND(B93="",G93=""),"",IF(OR(E93="",F93=""),"🟡 Falta quantidade ou valor. ","")&amp;IF(H93="","🟡 Informe a fonte. ","")&amp;IF(K93="","🟡 Classifique a categoria de limite. ","")&amp;IF(TRIM(M93)="","🔴 Sem justificativa de vínculo: se não explica, não coloque. ","")&amp;IF(N93&lt;&gt;"Sim","🟡 Preço de mercado não conferido. ","")&amp;IF(O93="Sim","🔴 Possível DUPLA COBERTURA: a mesma despesa não pode ser paga duas vezes. ","")&amp;IF(AND(L93="Sim",K93&lt;&gt;"Remuneração do proponente"),"🟡 Pessoa vinculada: este valor SOMA no limite de remuneração do proponente. ","")&amp;IF(P93="","",IF(P93&gt;L_FORNECEDOR,"🔴 Fornecedor acima do limite sobre o valor captado (confira exceções). ",IF(P93&gt;=L_FORNECEDOR*MARGEM,"🟡 Fornecedor perto do limite. ","")))&amp;IF(AND(LEFT(K93,5)="Cachê",F93&lt;&gt;""),IF(F93&gt;IFERROR(VLOOKUP(K93,TAB_CATEGORIAS,2,FALSE),9E+99),"🔴 Cachê acima do limite: só com outras fontes ou apreciação da CNIC. ",""),"")&amp;IF(AND(LEFT(H93,6)="Outras",K93&lt;&gt;""),"🟡 Outras fontes: confirme que o recurso existe e está comprometido. ",""))))</f>
        <v/>
      </c>
    </row>
    <row r="94">
      <c r="A94" s="20" t="n"/>
      <c r="B94" s="20" t="n"/>
      <c r="C94" s="20" t="n"/>
      <c r="D94" s="20" t="n"/>
      <c r="E94" s="20" t="n"/>
      <c r="F94" s="17" t="n"/>
      <c r="G94" s="26">
        <f>IF(OR(E94="",F94=""),"",E94*F94)</f>
        <v/>
      </c>
      <c r="H94" s="20" t="n"/>
      <c r="I94" s="20" t="n"/>
      <c r="J94" s="20" t="n"/>
      <c r="K94" s="20" t="n"/>
      <c r="L94" s="20" t="n"/>
      <c r="M94" s="20" t="n"/>
      <c r="N94" s="20" t="n"/>
      <c r="O94" s="20" t="n"/>
      <c r="P94" s="27">
        <f>IF(OR(I94="",G94="",LEFT(H94,9)&lt;&gt;"Incentivo",VALOR_CAPTADO=0),"",SUMIFS($G$8:$G$207,$I$8:$I$207,I94,$H$8:$H$207,"Incentivo*")/VALOR_CAPTADO)</f>
        <v/>
      </c>
      <c r="Q94" s="21">
        <f>IF(AND(B94="",G94=""),"",IF(IF(AND(B94="",G94=""),"",IF(OR(E94="",F94=""),"🟡 Falta quantidade ou valor. ","")&amp;IF(H94="","🟡 Informe a fonte. ","")&amp;IF(K94="","🟡 Classifique a categoria de limite. ","")&amp;IF(TRIM(M94)="","🔴 Sem justificativa de vínculo: se não explica, não coloque. ","")&amp;IF(N94&lt;&gt;"Sim","🟡 Preço de mercado não conferido. ","")&amp;IF(O94="Sim","🔴 Possível DUPLA COBERTURA: a mesma despesa não pode ser paga duas vezes. ","")&amp;IF(AND(L94="Sim",K94&lt;&gt;"Remuneração do proponente"),"🟡 Pessoa vinculada: este valor SOMA no limite de remuneração do proponente. ","")&amp;IF(P94="","",IF(P94&gt;L_FORNECEDOR,"🔴 Fornecedor acima do limite sobre o valor captado (confira exceções). ",IF(P94&gt;=L_FORNECEDOR*MARGEM,"🟡 Fornecedor perto do limite. ","")))&amp;IF(AND(LEFT(K94,5)="Cachê",F94&lt;&gt;""),IF(F94&gt;IFERROR(VLOOKUP(K94,TAB_CATEGORIAS,2,FALSE),9E+99),"🔴 Cachê acima do limite: só com outras fontes ou apreciação da CNIC. ",""),"")&amp;IF(AND(LEFT(H94,6)="Outras",K94&lt;&gt;""),"🟡 Outras fontes: confirme que o recurso existe e está comprometido. ",""))="","🟢 CONFERIDO",IF(AND(B94="",G94=""),"",IF(OR(E94="",F94=""),"🟡 Falta quantidade ou valor. ","")&amp;IF(H94="","🟡 Informe a fonte. ","")&amp;IF(K94="","🟡 Classifique a categoria de limite. ","")&amp;IF(TRIM(M94)="","🔴 Sem justificativa de vínculo: se não explica, não coloque. ","")&amp;IF(N94&lt;&gt;"Sim","🟡 Preço de mercado não conferido. ","")&amp;IF(O94="Sim","🔴 Possível DUPLA COBERTURA: a mesma despesa não pode ser paga duas vezes. ","")&amp;IF(AND(L94="Sim",K94&lt;&gt;"Remuneração do proponente"),"🟡 Pessoa vinculada: este valor SOMA no limite de remuneração do proponente. ","")&amp;IF(P94="","",IF(P94&gt;L_FORNECEDOR,"🔴 Fornecedor acima do limite sobre o valor captado (confira exceções). ",IF(P94&gt;=L_FORNECEDOR*MARGEM,"🟡 Fornecedor perto do limite. ","")))&amp;IF(AND(LEFT(K94,5)="Cachê",F94&lt;&gt;""),IF(F94&gt;IFERROR(VLOOKUP(K94,TAB_CATEGORIAS,2,FALSE),9E+99),"🔴 Cachê acima do limite: só com outras fontes ou apreciação da CNIC. ",""),"")&amp;IF(AND(LEFT(H94,6)="Outras",K94&lt;&gt;""),"🟡 Outras fontes: confirme que o recurso existe e está comprometido. ",""))))</f>
        <v/>
      </c>
    </row>
    <row r="95">
      <c r="A95" s="20" t="n"/>
      <c r="B95" s="20" t="n"/>
      <c r="C95" s="20" t="n"/>
      <c r="D95" s="20" t="n"/>
      <c r="E95" s="20" t="n"/>
      <c r="F95" s="17" t="n"/>
      <c r="G95" s="26">
        <f>IF(OR(E95="",F95=""),"",E95*F95)</f>
        <v/>
      </c>
      <c r="H95" s="20" t="n"/>
      <c r="I95" s="20" t="n"/>
      <c r="J95" s="20" t="n"/>
      <c r="K95" s="20" t="n"/>
      <c r="L95" s="20" t="n"/>
      <c r="M95" s="20" t="n"/>
      <c r="N95" s="20" t="n"/>
      <c r="O95" s="20" t="n"/>
      <c r="P95" s="27">
        <f>IF(OR(I95="",G95="",LEFT(H95,9)&lt;&gt;"Incentivo",VALOR_CAPTADO=0),"",SUMIFS($G$8:$G$207,$I$8:$I$207,I95,$H$8:$H$207,"Incentivo*")/VALOR_CAPTADO)</f>
        <v/>
      </c>
      <c r="Q95" s="21">
        <f>IF(AND(B95="",G95=""),"",IF(IF(AND(B95="",G95=""),"",IF(OR(E95="",F95=""),"🟡 Falta quantidade ou valor. ","")&amp;IF(H95="","🟡 Informe a fonte. ","")&amp;IF(K95="","🟡 Classifique a categoria de limite. ","")&amp;IF(TRIM(M95)="","🔴 Sem justificativa de vínculo: se não explica, não coloque. ","")&amp;IF(N95&lt;&gt;"Sim","🟡 Preço de mercado não conferido. ","")&amp;IF(O95="Sim","🔴 Possível DUPLA COBERTURA: a mesma despesa não pode ser paga duas vezes. ","")&amp;IF(AND(L95="Sim",K95&lt;&gt;"Remuneração do proponente"),"🟡 Pessoa vinculada: este valor SOMA no limite de remuneração do proponente. ","")&amp;IF(P95="","",IF(P95&gt;L_FORNECEDOR,"🔴 Fornecedor acima do limite sobre o valor captado (confira exceções). ",IF(P95&gt;=L_FORNECEDOR*MARGEM,"🟡 Fornecedor perto do limite. ","")))&amp;IF(AND(LEFT(K95,5)="Cachê",F95&lt;&gt;""),IF(F95&gt;IFERROR(VLOOKUP(K95,TAB_CATEGORIAS,2,FALSE),9E+99),"🔴 Cachê acima do limite: só com outras fontes ou apreciação da CNIC. ",""),"")&amp;IF(AND(LEFT(H95,6)="Outras",K95&lt;&gt;""),"🟡 Outras fontes: confirme que o recurso existe e está comprometido. ",""))="","🟢 CONFERIDO",IF(AND(B95="",G95=""),"",IF(OR(E95="",F95=""),"🟡 Falta quantidade ou valor. ","")&amp;IF(H95="","🟡 Informe a fonte. ","")&amp;IF(K95="","🟡 Classifique a categoria de limite. ","")&amp;IF(TRIM(M95)="","🔴 Sem justificativa de vínculo: se não explica, não coloque. ","")&amp;IF(N95&lt;&gt;"Sim","🟡 Preço de mercado não conferido. ","")&amp;IF(O95="Sim","🔴 Possível DUPLA COBERTURA: a mesma despesa não pode ser paga duas vezes. ","")&amp;IF(AND(L95="Sim",K95&lt;&gt;"Remuneração do proponente"),"🟡 Pessoa vinculada: este valor SOMA no limite de remuneração do proponente. ","")&amp;IF(P95="","",IF(P95&gt;L_FORNECEDOR,"🔴 Fornecedor acima do limite sobre o valor captado (confira exceções). ",IF(P95&gt;=L_FORNECEDOR*MARGEM,"🟡 Fornecedor perto do limite. ","")))&amp;IF(AND(LEFT(K95,5)="Cachê",F95&lt;&gt;""),IF(F95&gt;IFERROR(VLOOKUP(K95,TAB_CATEGORIAS,2,FALSE),9E+99),"🔴 Cachê acima do limite: só com outras fontes ou apreciação da CNIC. ",""),"")&amp;IF(AND(LEFT(H95,6)="Outras",K95&lt;&gt;""),"🟡 Outras fontes: confirme que o recurso existe e está comprometido. ",""))))</f>
        <v/>
      </c>
    </row>
    <row r="96">
      <c r="A96" s="20" t="n"/>
      <c r="B96" s="20" t="n"/>
      <c r="C96" s="20" t="n"/>
      <c r="D96" s="20" t="n"/>
      <c r="E96" s="20" t="n"/>
      <c r="F96" s="17" t="n"/>
      <c r="G96" s="26">
        <f>IF(OR(E96="",F96=""),"",E96*F96)</f>
        <v/>
      </c>
      <c r="H96" s="20" t="n"/>
      <c r="I96" s="20" t="n"/>
      <c r="J96" s="20" t="n"/>
      <c r="K96" s="20" t="n"/>
      <c r="L96" s="20" t="n"/>
      <c r="M96" s="20" t="n"/>
      <c r="N96" s="20" t="n"/>
      <c r="O96" s="20" t="n"/>
      <c r="P96" s="27">
        <f>IF(OR(I96="",G96="",LEFT(H96,9)&lt;&gt;"Incentivo",VALOR_CAPTADO=0),"",SUMIFS($G$8:$G$207,$I$8:$I$207,I96,$H$8:$H$207,"Incentivo*")/VALOR_CAPTADO)</f>
        <v/>
      </c>
      <c r="Q96" s="21">
        <f>IF(AND(B96="",G96=""),"",IF(IF(AND(B96="",G96=""),"",IF(OR(E96="",F96=""),"🟡 Falta quantidade ou valor. ","")&amp;IF(H96="","🟡 Informe a fonte. ","")&amp;IF(K96="","🟡 Classifique a categoria de limite. ","")&amp;IF(TRIM(M96)="","🔴 Sem justificativa de vínculo: se não explica, não coloque. ","")&amp;IF(N96&lt;&gt;"Sim","🟡 Preço de mercado não conferido. ","")&amp;IF(O96="Sim","🔴 Possível DUPLA COBERTURA: a mesma despesa não pode ser paga duas vezes. ","")&amp;IF(AND(L96="Sim",K96&lt;&gt;"Remuneração do proponente"),"🟡 Pessoa vinculada: este valor SOMA no limite de remuneração do proponente. ","")&amp;IF(P96="","",IF(P96&gt;L_FORNECEDOR,"🔴 Fornecedor acima do limite sobre o valor captado (confira exceções). ",IF(P96&gt;=L_FORNECEDOR*MARGEM,"🟡 Fornecedor perto do limite. ","")))&amp;IF(AND(LEFT(K96,5)="Cachê",F96&lt;&gt;""),IF(F96&gt;IFERROR(VLOOKUP(K96,TAB_CATEGORIAS,2,FALSE),9E+99),"🔴 Cachê acima do limite: só com outras fontes ou apreciação da CNIC. ",""),"")&amp;IF(AND(LEFT(H96,6)="Outras",K96&lt;&gt;""),"🟡 Outras fontes: confirme que o recurso existe e está comprometido. ",""))="","🟢 CONFERIDO",IF(AND(B96="",G96=""),"",IF(OR(E96="",F96=""),"🟡 Falta quantidade ou valor. ","")&amp;IF(H96="","🟡 Informe a fonte. ","")&amp;IF(K96="","🟡 Classifique a categoria de limite. ","")&amp;IF(TRIM(M96)="","🔴 Sem justificativa de vínculo: se não explica, não coloque. ","")&amp;IF(N96&lt;&gt;"Sim","🟡 Preço de mercado não conferido. ","")&amp;IF(O96="Sim","🔴 Possível DUPLA COBERTURA: a mesma despesa não pode ser paga duas vezes. ","")&amp;IF(AND(L96="Sim",K96&lt;&gt;"Remuneração do proponente"),"🟡 Pessoa vinculada: este valor SOMA no limite de remuneração do proponente. ","")&amp;IF(P96="","",IF(P96&gt;L_FORNECEDOR,"🔴 Fornecedor acima do limite sobre o valor captado (confira exceções). ",IF(P96&gt;=L_FORNECEDOR*MARGEM,"🟡 Fornecedor perto do limite. ","")))&amp;IF(AND(LEFT(K96,5)="Cachê",F96&lt;&gt;""),IF(F96&gt;IFERROR(VLOOKUP(K96,TAB_CATEGORIAS,2,FALSE),9E+99),"🔴 Cachê acima do limite: só com outras fontes ou apreciação da CNIC. ",""),"")&amp;IF(AND(LEFT(H96,6)="Outras",K96&lt;&gt;""),"🟡 Outras fontes: confirme que o recurso existe e está comprometido. ",""))))</f>
        <v/>
      </c>
    </row>
    <row r="97">
      <c r="A97" s="20" t="n"/>
      <c r="B97" s="20" t="n"/>
      <c r="C97" s="20" t="n"/>
      <c r="D97" s="20" t="n"/>
      <c r="E97" s="20" t="n"/>
      <c r="F97" s="17" t="n"/>
      <c r="G97" s="26">
        <f>IF(OR(E97="",F97=""),"",E97*F97)</f>
        <v/>
      </c>
      <c r="H97" s="20" t="n"/>
      <c r="I97" s="20" t="n"/>
      <c r="J97" s="20" t="n"/>
      <c r="K97" s="20" t="n"/>
      <c r="L97" s="20" t="n"/>
      <c r="M97" s="20" t="n"/>
      <c r="N97" s="20" t="n"/>
      <c r="O97" s="20" t="n"/>
      <c r="P97" s="27">
        <f>IF(OR(I97="",G97="",LEFT(H97,9)&lt;&gt;"Incentivo",VALOR_CAPTADO=0),"",SUMIFS($G$8:$G$207,$I$8:$I$207,I97,$H$8:$H$207,"Incentivo*")/VALOR_CAPTADO)</f>
        <v/>
      </c>
      <c r="Q97" s="21">
        <f>IF(AND(B97="",G97=""),"",IF(IF(AND(B97="",G97=""),"",IF(OR(E97="",F97=""),"🟡 Falta quantidade ou valor. ","")&amp;IF(H97="","🟡 Informe a fonte. ","")&amp;IF(K97="","🟡 Classifique a categoria de limite. ","")&amp;IF(TRIM(M97)="","🔴 Sem justificativa de vínculo: se não explica, não coloque. ","")&amp;IF(N97&lt;&gt;"Sim","🟡 Preço de mercado não conferido. ","")&amp;IF(O97="Sim","🔴 Possível DUPLA COBERTURA: a mesma despesa não pode ser paga duas vezes. ","")&amp;IF(AND(L97="Sim",K97&lt;&gt;"Remuneração do proponente"),"🟡 Pessoa vinculada: este valor SOMA no limite de remuneração do proponente. ","")&amp;IF(P97="","",IF(P97&gt;L_FORNECEDOR,"🔴 Fornecedor acima do limite sobre o valor captado (confira exceções). ",IF(P97&gt;=L_FORNECEDOR*MARGEM,"🟡 Fornecedor perto do limite. ","")))&amp;IF(AND(LEFT(K97,5)="Cachê",F97&lt;&gt;""),IF(F97&gt;IFERROR(VLOOKUP(K97,TAB_CATEGORIAS,2,FALSE),9E+99),"🔴 Cachê acima do limite: só com outras fontes ou apreciação da CNIC. ",""),"")&amp;IF(AND(LEFT(H97,6)="Outras",K97&lt;&gt;""),"🟡 Outras fontes: confirme que o recurso existe e está comprometido. ",""))="","🟢 CONFERIDO",IF(AND(B97="",G97=""),"",IF(OR(E97="",F97=""),"🟡 Falta quantidade ou valor. ","")&amp;IF(H97="","🟡 Informe a fonte. ","")&amp;IF(K97="","🟡 Classifique a categoria de limite. ","")&amp;IF(TRIM(M97)="","🔴 Sem justificativa de vínculo: se não explica, não coloque. ","")&amp;IF(N97&lt;&gt;"Sim","🟡 Preço de mercado não conferido. ","")&amp;IF(O97="Sim","🔴 Possível DUPLA COBERTURA: a mesma despesa não pode ser paga duas vezes. ","")&amp;IF(AND(L97="Sim",K97&lt;&gt;"Remuneração do proponente"),"🟡 Pessoa vinculada: este valor SOMA no limite de remuneração do proponente. ","")&amp;IF(P97="","",IF(P97&gt;L_FORNECEDOR,"🔴 Fornecedor acima do limite sobre o valor captado (confira exceções). ",IF(P97&gt;=L_FORNECEDOR*MARGEM,"🟡 Fornecedor perto do limite. ","")))&amp;IF(AND(LEFT(K97,5)="Cachê",F97&lt;&gt;""),IF(F97&gt;IFERROR(VLOOKUP(K97,TAB_CATEGORIAS,2,FALSE),9E+99),"🔴 Cachê acima do limite: só com outras fontes ou apreciação da CNIC. ",""),"")&amp;IF(AND(LEFT(H97,6)="Outras",K97&lt;&gt;""),"🟡 Outras fontes: confirme que o recurso existe e está comprometido. ",""))))</f>
        <v/>
      </c>
    </row>
    <row r="98">
      <c r="A98" s="20" t="n"/>
      <c r="B98" s="20" t="n"/>
      <c r="C98" s="20" t="n"/>
      <c r="D98" s="20" t="n"/>
      <c r="E98" s="20" t="n"/>
      <c r="F98" s="17" t="n"/>
      <c r="G98" s="26">
        <f>IF(OR(E98="",F98=""),"",E98*F98)</f>
        <v/>
      </c>
      <c r="H98" s="20" t="n"/>
      <c r="I98" s="20" t="n"/>
      <c r="J98" s="20" t="n"/>
      <c r="K98" s="20" t="n"/>
      <c r="L98" s="20" t="n"/>
      <c r="M98" s="20" t="n"/>
      <c r="N98" s="20" t="n"/>
      <c r="O98" s="20" t="n"/>
      <c r="P98" s="27">
        <f>IF(OR(I98="",G98="",LEFT(H98,9)&lt;&gt;"Incentivo",VALOR_CAPTADO=0),"",SUMIFS($G$8:$G$207,$I$8:$I$207,I98,$H$8:$H$207,"Incentivo*")/VALOR_CAPTADO)</f>
        <v/>
      </c>
      <c r="Q98" s="21">
        <f>IF(AND(B98="",G98=""),"",IF(IF(AND(B98="",G98=""),"",IF(OR(E98="",F98=""),"🟡 Falta quantidade ou valor. ","")&amp;IF(H98="","🟡 Informe a fonte. ","")&amp;IF(K98="","🟡 Classifique a categoria de limite. ","")&amp;IF(TRIM(M98)="","🔴 Sem justificativa de vínculo: se não explica, não coloque. ","")&amp;IF(N98&lt;&gt;"Sim","🟡 Preço de mercado não conferido. ","")&amp;IF(O98="Sim","🔴 Possível DUPLA COBERTURA: a mesma despesa não pode ser paga duas vezes. ","")&amp;IF(AND(L98="Sim",K98&lt;&gt;"Remuneração do proponente"),"🟡 Pessoa vinculada: este valor SOMA no limite de remuneração do proponente. ","")&amp;IF(P98="","",IF(P98&gt;L_FORNECEDOR,"🔴 Fornecedor acima do limite sobre o valor captado (confira exceções). ",IF(P98&gt;=L_FORNECEDOR*MARGEM,"🟡 Fornecedor perto do limite. ","")))&amp;IF(AND(LEFT(K98,5)="Cachê",F98&lt;&gt;""),IF(F98&gt;IFERROR(VLOOKUP(K98,TAB_CATEGORIAS,2,FALSE),9E+99),"🔴 Cachê acima do limite: só com outras fontes ou apreciação da CNIC. ",""),"")&amp;IF(AND(LEFT(H98,6)="Outras",K98&lt;&gt;""),"🟡 Outras fontes: confirme que o recurso existe e está comprometido. ",""))="","🟢 CONFERIDO",IF(AND(B98="",G98=""),"",IF(OR(E98="",F98=""),"🟡 Falta quantidade ou valor. ","")&amp;IF(H98="","🟡 Informe a fonte. ","")&amp;IF(K98="","🟡 Classifique a categoria de limite. ","")&amp;IF(TRIM(M98)="","🔴 Sem justificativa de vínculo: se não explica, não coloque. ","")&amp;IF(N98&lt;&gt;"Sim","🟡 Preço de mercado não conferido. ","")&amp;IF(O98="Sim","🔴 Possível DUPLA COBERTURA: a mesma despesa não pode ser paga duas vezes. ","")&amp;IF(AND(L98="Sim",K98&lt;&gt;"Remuneração do proponente"),"🟡 Pessoa vinculada: este valor SOMA no limite de remuneração do proponente. ","")&amp;IF(P98="","",IF(P98&gt;L_FORNECEDOR,"🔴 Fornecedor acima do limite sobre o valor captado (confira exceções). ",IF(P98&gt;=L_FORNECEDOR*MARGEM,"🟡 Fornecedor perto do limite. ","")))&amp;IF(AND(LEFT(K98,5)="Cachê",F98&lt;&gt;""),IF(F98&gt;IFERROR(VLOOKUP(K98,TAB_CATEGORIAS,2,FALSE),9E+99),"🔴 Cachê acima do limite: só com outras fontes ou apreciação da CNIC. ",""),"")&amp;IF(AND(LEFT(H98,6)="Outras",K98&lt;&gt;""),"🟡 Outras fontes: confirme que o recurso existe e está comprometido. ",""))))</f>
        <v/>
      </c>
    </row>
    <row r="99">
      <c r="A99" s="20" t="n"/>
      <c r="B99" s="20" t="n"/>
      <c r="C99" s="20" t="n"/>
      <c r="D99" s="20" t="n"/>
      <c r="E99" s="20" t="n"/>
      <c r="F99" s="17" t="n"/>
      <c r="G99" s="26">
        <f>IF(OR(E99="",F99=""),"",E99*F99)</f>
        <v/>
      </c>
      <c r="H99" s="20" t="n"/>
      <c r="I99" s="20" t="n"/>
      <c r="J99" s="20" t="n"/>
      <c r="K99" s="20" t="n"/>
      <c r="L99" s="20" t="n"/>
      <c r="M99" s="20" t="n"/>
      <c r="N99" s="20" t="n"/>
      <c r="O99" s="20" t="n"/>
      <c r="P99" s="27">
        <f>IF(OR(I99="",G99="",LEFT(H99,9)&lt;&gt;"Incentivo",VALOR_CAPTADO=0),"",SUMIFS($G$8:$G$207,$I$8:$I$207,I99,$H$8:$H$207,"Incentivo*")/VALOR_CAPTADO)</f>
        <v/>
      </c>
      <c r="Q99" s="21">
        <f>IF(AND(B99="",G99=""),"",IF(IF(AND(B99="",G99=""),"",IF(OR(E99="",F99=""),"🟡 Falta quantidade ou valor. ","")&amp;IF(H99="","🟡 Informe a fonte. ","")&amp;IF(K99="","🟡 Classifique a categoria de limite. ","")&amp;IF(TRIM(M99)="","🔴 Sem justificativa de vínculo: se não explica, não coloque. ","")&amp;IF(N99&lt;&gt;"Sim","🟡 Preço de mercado não conferido. ","")&amp;IF(O99="Sim","🔴 Possível DUPLA COBERTURA: a mesma despesa não pode ser paga duas vezes. ","")&amp;IF(AND(L99="Sim",K99&lt;&gt;"Remuneração do proponente"),"🟡 Pessoa vinculada: este valor SOMA no limite de remuneração do proponente. ","")&amp;IF(P99="","",IF(P99&gt;L_FORNECEDOR,"🔴 Fornecedor acima do limite sobre o valor captado (confira exceções). ",IF(P99&gt;=L_FORNECEDOR*MARGEM,"🟡 Fornecedor perto do limite. ","")))&amp;IF(AND(LEFT(K99,5)="Cachê",F99&lt;&gt;""),IF(F99&gt;IFERROR(VLOOKUP(K99,TAB_CATEGORIAS,2,FALSE),9E+99),"🔴 Cachê acima do limite: só com outras fontes ou apreciação da CNIC. ",""),"")&amp;IF(AND(LEFT(H99,6)="Outras",K99&lt;&gt;""),"🟡 Outras fontes: confirme que o recurso existe e está comprometido. ",""))="","🟢 CONFERIDO",IF(AND(B99="",G99=""),"",IF(OR(E99="",F99=""),"🟡 Falta quantidade ou valor. ","")&amp;IF(H99="","🟡 Informe a fonte. ","")&amp;IF(K99="","🟡 Classifique a categoria de limite. ","")&amp;IF(TRIM(M99)="","🔴 Sem justificativa de vínculo: se não explica, não coloque. ","")&amp;IF(N99&lt;&gt;"Sim","🟡 Preço de mercado não conferido. ","")&amp;IF(O99="Sim","🔴 Possível DUPLA COBERTURA: a mesma despesa não pode ser paga duas vezes. ","")&amp;IF(AND(L99="Sim",K99&lt;&gt;"Remuneração do proponente"),"🟡 Pessoa vinculada: este valor SOMA no limite de remuneração do proponente. ","")&amp;IF(P99="","",IF(P99&gt;L_FORNECEDOR,"🔴 Fornecedor acima do limite sobre o valor captado (confira exceções). ",IF(P99&gt;=L_FORNECEDOR*MARGEM,"🟡 Fornecedor perto do limite. ","")))&amp;IF(AND(LEFT(K99,5)="Cachê",F99&lt;&gt;""),IF(F99&gt;IFERROR(VLOOKUP(K99,TAB_CATEGORIAS,2,FALSE),9E+99),"🔴 Cachê acima do limite: só com outras fontes ou apreciação da CNIC. ",""),"")&amp;IF(AND(LEFT(H99,6)="Outras",K99&lt;&gt;""),"🟡 Outras fontes: confirme que o recurso existe e está comprometido. ",""))))</f>
        <v/>
      </c>
    </row>
    <row r="100">
      <c r="A100" s="20" t="n"/>
      <c r="B100" s="20" t="n"/>
      <c r="C100" s="20" t="n"/>
      <c r="D100" s="20" t="n"/>
      <c r="E100" s="20" t="n"/>
      <c r="F100" s="17" t="n"/>
      <c r="G100" s="26">
        <f>IF(OR(E100="",F100=""),"",E100*F100)</f>
        <v/>
      </c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7">
        <f>IF(OR(I100="",G100="",LEFT(H100,9)&lt;&gt;"Incentivo",VALOR_CAPTADO=0),"",SUMIFS($G$8:$G$207,$I$8:$I$207,I100,$H$8:$H$207,"Incentivo*")/VALOR_CAPTADO)</f>
        <v/>
      </c>
      <c r="Q100" s="21">
        <f>IF(AND(B100="",G100=""),"",IF(IF(AND(B100="",G100=""),"",IF(OR(E100="",F100=""),"🟡 Falta quantidade ou valor. ","")&amp;IF(H100="","🟡 Informe a fonte. ","")&amp;IF(K100="","🟡 Classifique a categoria de limite. ","")&amp;IF(TRIM(M100)="","🔴 Sem justificativa de vínculo: se não explica, não coloque. ","")&amp;IF(N100&lt;&gt;"Sim","🟡 Preço de mercado não conferido. ","")&amp;IF(O100="Sim","🔴 Possível DUPLA COBERTURA: a mesma despesa não pode ser paga duas vezes. ","")&amp;IF(AND(L100="Sim",K100&lt;&gt;"Remuneração do proponente"),"🟡 Pessoa vinculada: este valor SOMA no limite de remuneração do proponente. ","")&amp;IF(P100="","",IF(P100&gt;L_FORNECEDOR,"🔴 Fornecedor acima do limite sobre o valor captado (confira exceções). ",IF(P100&gt;=L_FORNECEDOR*MARGEM,"🟡 Fornecedor perto do limite. ","")))&amp;IF(AND(LEFT(K100,5)="Cachê",F100&lt;&gt;""),IF(F100&gt;IFERROR(VLOOKUP(K100,TAB_CATEGORIAS,2,FALSE),9E+99),"🔴 Cachê acima do limite: só com outras fontes ou apreciação da CNIC. ",""),"")&amp;IF(AND(LEFT(H100,6)="Outras",K100&lt;&gt;""),"🟡 Outras fontes: confirme que o recurso existe e está comprometido. ",""))="","🟢 CONFERIDO",IF(AND(B100="",G100=""),"",IF(OR(E100="",F100=""),"🟡 Falta quantidade ou valor. ","")&amp;IF(H100="","🟡 Informe a fonte. ","")&amp;IF(K100="","🟡 Classifique a categoria de limite. ","")&amp;IF(TRIM(M100)="","🔴 Sem justificativa de vínculo: se não explica, não coloque. ","")&amp;IF(N100&lt;&gt;"Sim","🟡 Preço de mercado não conferido. ","")&amp;IF(O100="Sim","🔴 Possível DUPLA COBERTURA: a mesma despesa não pode ser paga duas vezes. ","")&amp;IF(AND(L100="Sim",K100&lt;&gt;"Remuneração do proponente"),"🟡 Pessoa vinculada: este valor SOMA no limite de remuneração do proponente. ","")&amp;IF(P100="","",IF(P100&gt;L_FORNECEDOR,"🔴 Fornecedor acima do limite sobre o valor captado (confira exceções). ",IF(P100&gt;=L_FORNECEDOR*MARGEM,"🟡 Fornecedor perto do limite. ","")))&amp;IF(AND(LEFT(K100,5)="Cachê",F100&lt;&gt;""),IF(F100&gt;IFERROR(VLOOKUP(K100,TAB_CATEGORIAS,2,FALSE),9E+99),"🔴 Cachê acima do limite: só com outras fontes ou apreciação da CNIC. ",""),"")&amp;IF(AND(LEFT(H100,6)="Outras",K100&lt;&gt;""),"🟡 Outras fontes: confirme que o recurso existe e está comprometido. ",""))))</f>
        <v/>
      </c>
    </row>
    <row r="101">
      <c r="A101" s="20" t="n"/>
      <c r="B101" s="20" t="n"/>
      <c r="C101" s="20" t="n"/>
      <c r="D101" s="20" t="n"/>
      <c r="E101" s="20" t="n"/>
      <c r="F101" s="17" t="n"/>
      <c r="G101" s="26">
        <f>IF(OR(E101="",F101=""),"",E101*F101)</f>
        <v/>
      </c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7">
        <f>IF(OR(I101="",G101="",LEFT(H101,9)&lt;&gt;"Incentivo",VALOR_CAPTADO=0),"",SUMIFS($G$8:$G$207,$I$8:$I$207,I101,$H$8:$H$207,"Incentivo*")/VALOR_CAPTADO)</f>
        <v/>
      </c>
      <c r="Q101" s="21">
        <f>IF(AND(B101="",G101=""),"",IF(IF(AND(B101="",G101=""),"",IF(OR(E101="",F101=""),"🟡 Falta quantidade ou valor. ","")&amp;IF(H101="","🟡 Informe a fonte. ","")&amp;IF(K101="","🟡 Classifique a categoria de limite. ","")&amp;IF(TRIM(M101)="","🔴 Sem justificativa de vínculo: se não explica, não coloque. ","")&amp;IF(N101&lt;&gt;"Sim","🟡 Preço de mercado não conferido. ","")&amp;IF(O101="Sim","🔴 Possível DUPLA COBERTURA: a mesma despesa não pode ser paga duas vezes. ","")&amp;IF(AND(L101="Sim",K101&lt;&gt;"Remuneração do proponente"),"🟡 Pessoa vinculada: este valor SOMA no limite de remuneração do proponente. ","")&amp;IF(P101="","",IF(P101&gt;L_FORNECEDOR,"🔴 Fornecedor acima do limite sobre o valor captado (confira exceções). ",IF(P101&gt;=L_FORNECEDOR*MARGEM,"🟡 Fornecedor perto do limite. ","")))&amp;IF(AND(LEFT(K101,5)="Cachê",F101&lt;&gt;""),IF(F101&gt;IFERROR(VLOOKUP(K101,TAB_CATEGORIAS,2,FALSE),9E+99),"🔴 Cachê acima do limite: só com outras fontes ou apreciação da CNIC. ",""),"")&amp;IF(AND(LEFT(H101,6)="Outras",K101&lt;&gt;""),"🟡 Outras fontes: confirme que o recurso existe e está comprometido. ",""))="","🟢 CONFERIDO",IF(AND(B101="",G101=""),"",IF(OR(E101="",F101=""),"🟡 Falta quantidade ou valor. ","")&amp;IF(H101="","🟡 Informe a fonte. ","")&amp;IF(K101="","🟡 Classifique a categoria de limite. ","")&amp;IF(TRIM(M101)="","🔴 Sem justificativa de vínculo: se não explica, não coloque. ","")&amp;IF(N101&lt;&gt;"Sim","🟡 Preço de mercado não conferido. ","")&amp;IF(O101="Sim","🔴 Possível DUPLA COBERTURA: a mesma despesa não pode ser paga duas vezes. ","")&amp;IF(AND(L101="Sim",K101&lt;&gt;"Remuneração do proponente"),"🟡 Pessoa vinculada: este valor SOMA no limite de remuneração do proponente. ","")&amp;IF(P101="","",IF(P101&gt;L_FORNECEDOR,"🔴 Fornecedor acima do limite sobre o valor captado (confira exceções). ",IF(P101&gt;=L_FORNECEDOR*MARGEM,"🟡 Fornecedor perto do limite. ","")))&amp;IF(AND(LEFT(K101,5)="Cachê",F101&lt;&gt;""),IF(F101&gt;IFERROR(VLOOKUP(K101,TAB_CATEGORIAS,2,FALSE),9E+99),"🔴 Cachê acima do limite: só com outras fontes ou apreciação da CNIC. ",""),"")&amp;IF(AND(LEFT(H101,6)="Outras",K101&lt;&gt;""),"🟡 Outras fontes: confirme que o recurso existe e está comprometido. ",""))))</f>
        <v/>
      </c>
    </row>
    <row r="102">
      <c r="A102" s="20" t="n"/>
      <c r="B102" s="20" t="n"/>
      <c r="C102" s="20" t="n"/>
      <c r="D102" s="20" t="n"/>
      <c r="E102" s="20" t="n"/>
      <c r="F102" s="17" t="n"/>
      <c r="G102" s="26">
        <f>IF(OR(E102="",F102=""),"",E102*F102)</f>
        <v/>
      </c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7">
        <f>IF(OR(I102="",G102="",LEFT(H102,9)&lt;&gt;"Incentivo",VALOR_CAPTADO=0),"",SUMIFS($G$8:$G$207,$I$8:$I$207,I102,$H$8:$H$207,"Incentivo*")/VALOR_CAPTADO)</f>
        <v/>
      </c>
      <c r="Q102" s="21">
        <f>IF(AND(B102="",G102=""),"",IF(IF(AND(B102="",G102=""),"",IF(OR(E102="",F102=""),"🟡 Falta quantidade ou valor. ","")&amp;IF(H102="","🟡 Informe a fonte. ","")&amp;IF(K102="","🟡 Classifique a categoria de limite. ","")&amp;IF(TRIM(M102)="","🔴 Sem justificativa de vínculo: se não explica, não coloque. ","")&amp;IF(N102&lt;&gt;"Sim","🟡 Preço de mercado não conferido. ","")&amp;IF(O102="Sim","🔴 Possível DUPLA COBERTURA: a mesma despesa não pode ser paga duas vezes. ","")&amp;IF(AND(L102="Sim",K102&lt;&gt;"Remuneração do proponente"),"🟡 Pessoa vinculada: este valor SOMA no limite de remuneração do proponente. ","")&amp;IF(P102="","",IF(P102&gt;L_FORNECEDOR,"🔴 Fornecedor acima do limite sobre o valor captado (confira exceções). ",IF(P102&gt;=L_FORNECEDOR*MARGEM,"🟡 Fornecedor perto do limite. ","")))&amp;IF(AND(LEFT(K102,5)="Cachê",F102&lt;&gt;""),IF(F102&gt;IFERROR(VLOOKUP(K102,TAB_CATEGORIAS,2,FALSE),9E+99),"🔴 Cachê acima do limite: só com outras fontes ou apreciação da CNIC. ",""),"")&amp;IF(AND(LEFT(H102,6)="Outras",K102&lt;&gt;""),"🟡 Outras fontes: confirme que o recurso existe e está comprometido. ",""))="","🟢 CONFERIDO",IF(AND(B102="",G102=""),"",IF(OR(E102="",F102=""),"🟡 Falta quantidade ou valor. ","")&amp;IF(H102="","🟡 Informe a fonte. ","")&amp;IF(K102="","🟡 Classifique a categoria de limite. ","")&amp;IF(TRIM(M102)="","🔴 Sem justificativa de vínculo: se não explica, não coloque. ","")&amp;IF(N102&lt;&gt;"Sim","🟡 Preço de mercado não conferido. ","")&amp;IF(O102="Sim","🔴 Possível DUPLA COBERTURA: a mesma despesa não pode ser paga duas vezes. ","")&amp;IF(AND(L102="Sim",K102&lt;&gt;"Remuneração do proponente"),"🟡 Pessoa vinculada: este valor SOMA no limite de remuneração do proponente. ","")&amp;IF(P102="","",IF(P102&gt;L_FORNECEDOR,"🔴 Fornecedor acima do limite sobre o valor captado (confira exceções). ",IF(P102&gt;=L_FORNECEDOR*MARGEM,"🟡 Fornecedor perto do limite. ","")))&amp;IF(AND(LEFT(K102,5)="Cachê",F102&lt;&gt;""),IF(F102&gt;IFERROR(VLOOKUP(K102,TAB_CATEGORIAS,2,FALSE),9E+99),"🔴 Cachê acima do limite: só com outras fontes ou apreciação da CNIC. ",""),"")&amp;IF(AND(LEFT(H102,6)="Outras",K102&lt;&gt;""),"🟡 Outras fontes: confirme que o recurso existe e está comprometido. ",""))))</f>
        <v/>
      </c>
    </row>
    <row r="103">
      <c r="A103" s="20" t="n"/>
      <c r="B103" s="20" t="n"/>
      <c r="C103" s="20" t="n"/>
      <c r="D103" s="20" t="n"/>
      <c r="E103" s="20" t="n"/>
      <c r="F103" s="17" t="n"/>
      <c r="G103" s="26">
        <f>IF(OR(E103="",F103=""),"",E103*F103)</f>
        <v/>
      </c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7">
        <f>IF(OR(I103="",G103="",LEFT(H103,9)&lt;&gt;"Incentivo",VALOR_CAPTADO=0),"",SUMIFS($G$8:$G$207,$I$8:$I$207,I103,$H$8:$H$207,"Incentivo*")/VALOR_CAPTADO)</f>
        <v/>
      </c>
      <c r="Q103" s="21">
        <f>IF(AND(B103="",G103=""),"",IF(IF(AND(B103="",G103=""),"",IF(OR(E103="",F103=""),"🟡 Falta quantidade ou valor. ","")&amp;IF(H103="","🟡 Informe a fonte. ","")&amp;IF(K103="","🟡 Classifique a categoria de limite. ","")&amp;IF(TRIM(M103)="","🔴 Sem justificativa de vínculo: se não explica, não coloque. ","")&amp;IF(N103&lt;&gt;"Sim","🟡 Preço de mercado não conferido. ","")&amp;IF(O103="Sim","🔴 Possível DUPLA COBERTURA: a mesma despesa não pode ser paga duas vezes. ","")&amp;IF(AND(L103="Sim",K103&lt;&gt;"Remuneração do proponente"),"🟡 Pessoa vinculada: este valor SOMA no limite de remuneração do proponente. ","")&amp;IF(P103="","",IF(P103&gt;L_FORNECEDOR,"🔴 Fornecedor acima do limite sobre o valor captado (confira exceções). ",IF(P103&gt;=L_FORNECEDOR*MARGEM,"🟡 Fornecedor perto do limite. ","")))&amp;IF(AND(LEFT(K103,5)="Cachê",F103&lt;&gt;""),IF(F103&gt;IFERROR(VLOOKUP(K103,TAB_CATEGORIAS,2,FALSE),9E+99),"🔴 Cachê acima do limite: só com outras fontes ou apreciação da CNIC. ",""),"")&amp;IF(AND(LEFT(H103,6)="Outras",K103&lt;&gt;""),"🟡 Outras fontes: confirme que o recurso existe e está comprometido. ",""))="","🟢 CONFERIDO",IF(AND(B103="",G103=""),"",IF(OR(E103="",F103=""),"🟡 Falta quantidade ou valor. ","")&amp;IF(H103="","🟡 Informe a fonte. ","")&amp;IF(K103="","🟡 Classifique a categoria de limite. ","")&amp;IF(TRIM(M103)="","🔴 Sem justificativa de vínculo: se não explica, não coloque. ","")&amp;IF(N103&lt;&gt;"Sim","🟡 Preço de mercado não conferido. ","")&amp;IF(O103="Sim","🔴 Possível DUPLA COBERTURA: a mesma despesa não pode ser paga duas vezes. ","")&amp;IF(AND(L103="Sim",K103&lt;&gt;"Remuneração do proponente"),"🟡 Pessoa vinculada: este valor SOMA no limite de remuneração do proponente. ","")&amp;IF(P103="","",IF(P103&gt;L_FORNECEDOR,"🔴 Fornecedor acima do limite sobre o valor captado (confira exceções). ",IF(P103&gt;=L_FORNECEDOR*MARGEM,"🟡 Fornecedor perto do limite. ","")))&amp;IF(AND(LEFT(K103,5)="Cachê",F103&lt;&gt;""),IF(F103&gt;IFERROR(VLOOKUP(K103,TAB_CATEGORIAS,2,FALSE),9E+99),"🔴 Cachê acima do limite: só com outras fontes ou apreciação da CNIC. ",""),"")&amp;IF(AND(LEFT(H103,6)="Outras",K103&lt;&gt;""),"🟡 Outras fontes: confirme que o recurso existe e está comprometido. ",""))))</f>
        <v/>
      </c>
    </row>
    <row r="104">
      <c r="A104" s="20" t="n"/>
      <c r="B104" s="20" t="n"/>
      <c r="C104" s="20" t="n"/>
      <c r="D104" s="20" t="n"/>
      <c r="E104" s="20" t="n"/>
      <c r="F104" s="17" t="n"/>
      <c r="G104" s="26">
        <f>IF(OR(E104="",F104=""),"",E104*F104)</f>
        <v/>
      </c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7">
        <f>IF(OR(I104="",G104="",LEFT(H104,9)&lt;&gt;"Incentivo",VALOR_CAPTADO=0),"",SUMIFS($G$8:$G$207,$I$8:$I$207,I104,$H$8:$H$207,"Incentivo*")/VALOR_CAPTADO)</f>
        <v/>
      </c>
      <c r="Q104" s="21">
        <f>IF(AND(B104="",G104=""),"",IF(IF(AND(B104="",G104=""),"",IF(OR(E104="",F104=""),"🟡 Falta quantidade ou valor. ","")&amp;IF(H104="","🟡 Informe a fonte. ","")&amp;IF(K104="","🟡 Classifique a categoria de limite. ","")&amp;IF(TRIM(M104)="","🔴 Sem justificativa de vínculo: se não explica, não coloque. ","")&amp;IF(N104&lt;&gt;"Sim","🟡 Preço de mercado não conferido. ","")&amp;IF(O104="Sim","🔴 Possível DUPLA COBERTURA: a mesma despesa não pode ser paga duas vezes. ","")&amp;IF(AND(L104="Sim",K104&lt;&gt;"Remuneração do proponente"),"🟡 Pessoa vinculada: este valor SOMA no limite de remuneração do proponente. ","")&amp;IF(P104="","",IF(P104&gt;L_FORNECEDOR,"🔴 Fornecedor acima do limite sobre o valor captado (confira exceções). ",IF(P104&gt;=L_FORNECEDOR*MARGEM,"🟡 Fornecedor perto do limite. ","")))&amp;IF(AND(LEFT(K104,5)="Cachê",F104&lt;&gt;""),IF(F104&gt;IFERROR(VLOOKUP(K104,TAB_CATEGORIAS,2,FALSE),9E+99),"🔴 Cachê acima do limite: só com outras fontes ou apreciação da CNIC. ",""),"")&amp;IF(AND(LEFT(H104,6)="Outras",K104&lt;&gt;""),"🟡 Outras fontes: confirme que o recurso existe e está comprometido. ",""))="","🟢 CONFERIDO",IF(AND(B104="",G104=""),"",IF(OR(E104="",F104=""),"🟡 Falta quantidade ou valor. ","")&amp;IF(H104="","🟡 Informe a fonte. ","")&amp;IF(K104="","🟡 Classifique a categoria de limite. ","")&amp;IF(TRIM(M104)="","🔴 Sem justificativa de vínculo: se não explica, não coloque. ","")&amp;IF(N104&lt;&gt;"Sim","🟡 Preço de mercado não conferido. ","")&amp;IF(O104="Sim","🔴 Possível DUPLA COBERTURA: a mesma despesa não pode ser paga duas vezes. ","")&amp;IF(AND(L104="Sim",K104&lt;&gt;"Remuneração do proponente"),"🟡 Pessoa vinculada: este valor SOMA no limite de remuneração do proponente. ","")&amp;IF(P104="","",IF(P104&gt;L_FORNECEDOR,"🔴 Fornecedor acima do limite sobre o valor captado (confira exceções). ",IF(P104&gt;=L_FORNECEDOR*MARGEM,"🟡 Fornecedor perto do limite. ","")))&amp;IF(AND(LEFT(K104,5)="Cachê",F104&lt;&gt;""),IF(F104&gt;IFERROR(VLOOKUP(K104,TAB_CATEGORIAS,2,FALSE),9E+99),"🔴 Cachê acima do limite: só com outras fontes ou apreciação da CNIC. ",""),"")&amp;IF(AND(LEFT(H104,6)="Outras",K104&lt;&gt;""),"🟡 Outras fontes: confirme que o recurso existe e está comprometido. ",""))))</f>
        <v/>
      </c>
    </row>
    <row r="105">
      <c r="A105" s="20" t="n"/>
      <c r="B105" s="20" t="n"/>
      <c r="C105" s="20" t="n"/>
      <c r="D105" s="20" t="n"/>
      <c r="E105" s="20" t="n"/>
      <c r="F105" s="17" t="n"/>
      <c r="G105" s="26">
        <f>IF(OR(E105="",F105=""),"",E105*F105)</f>
        <v/>
      </c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7">
        <f>IF(OR(I105="",G105="",LEFT(H105,9)&lt;&gt;"Incentivo",VALOR_CAPTADO=0),"",SUMIFS($G$8:$G$207,$I$8:$I$207,I105,$H$8:$H$207,"Incentivo*")/VALOR_CAPTADO)</f>
        <v/>
      </c>
      <c r="Q105" s="21">
        <f>IF(AND(B105="",G105=""),"",IF(IF(AND(B105="",G105=""),"",IF(OR(E105="",F105=""),"🟡 Falta quantidade ou valor. ","")&amp;IF(H105="","🟡 Informe a fonte. ","")&amp;IF(K105="","🟡 Classifique a categoria de limite. ","")&amp;IF(TRIM(M105)="","🔴 Sem justificativa de vínculo: se não explica, não coloque. ","")&amp;IF(N105&lt;&gt;"Sim","🟡 Preço de mercado não conferido. ","")&amp;IF(O105="Sim","🔴 Possível DUPLA COBERTURA: a mesma despesa não pode ser paga duas vezes. ","")&amp;IF(AND(L105="Sim",K105&lt;&gt;"Remuneração do proponente"),"🟡 Pessoa vinculada: este valor SOMA no limite de remuneração do proponente. ","")&amp;IF(P105="","",IF(P105&gt;L_FORNECEDOR,"🔴 Fornecedor acima do limite sobre o valor captado (confira exceções). ",IF(P105&gt;=L_FORNECEDOR*MARGEM,"🟡 Fornecedor perto do limite. ","")))&amp;IF(AND(LEFT(K105,5)="Cachê",F105&lt;&gt;""),IF(F105&gt;IFERROR(VLOOKUP(K105,TAB_CATEGORIAS,2,FALSE),9E+99),"🔴 Cachê acima do limite: só com outras fontes ou apreciação da CNIC. ",""),"")&amp;IF(AND(LEFT(H105,6)="Outras",K105&lt;&gt;""),"🟡 Outras fontes: confirme que o recurso existe e está comprometido. ",""))="","🟢 CONFERIDO",IF(AND(B105="",G105=""),"",IF(OR(E105="",F105=""),"🟡 Falta quantidade ou valor. ","")&amp;IF(H105="","🟡 Informe a fonte. ","")&amp;IF(K105="","🟡 Classifique a categoria de limite. ","")&amp;IF(TRIM(M105)="","🔴 Sem justificativa de vínculo: se não explica, não coloque. ","")&amp;IF(N105&lt;&gt;"Sim","🟡 Preço de mercado não conferido. ","")&amp;IF(O105="Sim","🔴 Possível DUPLA COBERTURA: a mesma despesa não pode ser paga duas vezes. ","")&amp;IF(AND(L105="Sim",K105&lt;&gt;"Remuneração do proponente"),"🟡 Pessoa vinculada: este valor SOMA no limite de remuneração do proponente. ","")&amp;IF(P105="","",IF(P105&gt;L_FORNECEDOR,"🔴 Fornecedor acima do limite sobre o valor captado (confira exceções). ",IF(P105&gt;=L_FORNECEDOR*MARGEM,"🟡 Fornecedor perto do limite. ","")))&amp;IF(AND(LEFT(K105,5)="Cachê",F105&lt;&gt;""),IF(F105&gt;IFERROR(VLOOKUP(K105,TAB_CATEGORIAS,2,FALSE),9E+99),"🔴 Cachê acima do limite: só com outras fontes ou apreciação da CNIC. ",""),"")&amp;IF(AND(LEFT(H105,6)="Outras",K105&lt;&gt;""),"🟡 Outras fontes: confirme que o recurso existe e está comprometido. ",""))))</f>
        <v/>
      </c>
    </row>
    <row r="106">
      <c r="A106" s="20" t="n"/>
      <c r="B106" s="20" t="n"/>
      <c r="C106" s="20" t="n"/>
      <c r="D106" s="20" t="n"/>
      <c r="E106" s="20" t="n"/>
      <c r="F106" s="17" t="n"/>
      <c r="G106" s="26">
        <f>IF(OR(E106="",F106=""),"",E106*F106)</f>
        <v/>
      </c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7">
        <f>IF(OR(I106="",G106="",LEFT(H106,9)&lt;&gt;"Incentivo",VALOR_CAPTADO=0),"",SUMIFS($G$8:$G$207,$I$8:$I$207,I106,$H$8:$H$207,"Incentivo*")/VALOR_CAPTADO)</f>
        <v/>
      </c>
      <c r="Q106" s="21">
        <f>IF(AND(B106="",G106=""),"",IF(IF(AND(B106="",G106=""),"",IF(OR(E106="",F106=""),"🟡 Falta quantidade ou valor. ","")&amp;IF(H106="","🟡 Informe a fonte. ","")&amp;IF(K106="","🟡 Classifique a categoria de limite. ","")&amp;IF(TRIM(M106)="","🔴 Sem justificativa de vínculo: se não explica, não coloque. ","")&amp;IF(N106&lt;&gt;"Sim","🟡 Preço de mercado não conferido. ","")&amp;IF(O106="Sim","🔴 Possível DUPLA COBERTURA: a mesma despesa não pode ser paga duas vezes. ","")&amp;IF(AND(L106="Sim",K106&lt;&gt;"Remuneração do proponente"),"🟡 Pessoa vinculada: este valor SOMA no limite de remuneração do proponente. ","")&amp;IF(P106="","",IF(P106&gt;L_FORNECEDOR,"🔴 Fornecedor acima do limite sobre o valor captado (confira exceções). ",IF(P106&gt;=L_FORNECEDOR*MARGEM,"🟡 Fornecedor perto do limite. ","")))&amp;IF(AND(LEFT(K106,5)="Cachê",F106&lt;&gt;""),IF(F106&gt;IFERROR(VLOOKUP(K106,TAB_CATEGORIAS,2,FALSE),9E+99),"🔴 Cachê acima do limite: só com outras fontes ou apreciação da CNIC. ",""),"")&amp;IF(AND(LEFT(H106,6)="Outras",K106&lt;&gt;""),"🟡 Outras fontes: confirme que o recurso existe e está comprometido. ",""))="","🟢 CONFERIDO",IF(AND(B106="",G106=""),"",IF(OR(E106="",F106=""),"🟡 Falta quantidade ou valor. ","")&amp;IF(H106="","🟡 Informe a fonte. ","")&amp;IF(K106="","🟡 Classifique a categoria de limite. ","")&amp;IF(TRIM(M106)="","🔴 Sem justificativa de vínculo: se não explica, não coloque. ","")&amp;IF(N106&lt;&gt;"Sim","🟡 Preço de mercado não conferido. ","")&amp;IF(O106="Sim","🔴 Possível DUPLA COBERTURA: a mesma despesa não pode ser paga duas vezes. ","")&amp;IF(AND(L106="Sim",K106&lt;&gt;"Remuneração do proponente"),"🟡 Pessoa vinculada: este valor SOMA no limite de remuneração do proponente. ","")&amp;IF(P106="","",IF(P106&gt;L_FORNECEDOR,"🔴 Fornecedor acima do limite sobre o valor captado (confira exceções). ",IF(P106&gt;=L_FORNECEDOR*MARGEM,"🟡 Fornecedor perto do limite. ","")))&amp;IF(AND(LEFT(K106,5)="Cachê",F106&lt;&gt;""),IF(F106&gt;IFERROR(VLOOKUP(K106,TAB_CATEGORIAS,2,FALSE),9E+99),"🔴 Cachê acima do limite: só com outras fontes ou apreciação da CNIC. ",""),"")&amp;IF(AND(LEFT(H106,6)="Outras",K106&lt;&gt;""),"🟡 Outras fontes: confirme que o recurso existe e está comprometido. ",""))))</f>
        <v/>
      </c>
    </row>
    <row r="107">
      <c r="A107" s="20" t="n"/>
      <c r="B107" s="20" t="n"/>
      <c r="C107" s="20" t="n"/>
      <c r="D107" s="20" t="n"/>
      <c r="E107" s="20" t="n"/>
      <c r="F107" s="17" t="n"/>
      <c r="G107" s="26">
        <f>IF(OR(E107="",F107=""),"",E107*F107)</f>
        <v/>
      </c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7">
        <f>IF(OR(I107="",G107="",LEFT(H107,9)&lt;&gt;"Incentivo",VALOR_CAPTADO=0),"",SUMIFS($G$8:$G$207,$I$8:$I$207,I107,$H$8:$H$207,"Incentivo*")/VALOR_CAPTADO)</f>
        <v/>
      </c>
      <c r="Q107" s="21">
        <f>IF(AND(B107="",G107=""),"",IF(IF(AND(B107="",G107=""),"",IF(OR(E107="",F107=""),"🟡 Falta quantidade ou valor. ","")&amp;IF(H107="","🟡 Informe a fonte. ","")&amp;IF(K107="","🟡 Classifique a categoria de limite. ","")&amp;IF(TRIM(M107)="","🔴 Sem justificativa de vínculo: se não explica, não coloque. ","")&amp;IF(N107&lt;&gt;"Sim","🟡 Preço de mercado não conferido. ","")&amp;IF(O107="Sim","🔴 Possível DUPLA COBERTURA: a mesma despesa não pode ser paga duas vezes. ","")&amp;IF(AND(L107="Sim",K107&lt;&gt;"Remuneração do proponente"),"🟡 Pessoa vinculada: este valor SOMA no limite de remuneração do proponente. ","")&amp;IF(P107="","",IF(P107&gt;L_FORNECEDOR,"🔴 Fornecedor acima do limite sobre o valor captado (confira exceções). ",IF(P107&gt;=L_FORNECEDOR*MARGEM,"🟡 Fornecedor perto do limite. ","")))&amp;IF(AND(LEFT(K107,5)="Cachê",F107&lt;&gt;""),IF(F107&gt;IFERROR(VLOOKUP(K107,TAB_CATEGORIAS,2,FALSE),9E+99),"🔴 Cachê acima do limite: só com outras fontes ou apreciação da CNIC. ",""),"")&amp;IF(AND(LEFT(H107,6)="Outras",K107&lt;&gt;""),"🟡 Outras fontes: confirme que o recurso existe e está comprometido. ",""))="","🟢 CONFERIDO",IF(AND(B107="",G107=""),"",IF(OR(E107="",F107=""),"🟡 Falta quantidade ou valor. ","")&amp;IF(H107="","🟡 Informe a fonte. ","")&amp;IF(K107="","🟡 Classifique a categoria de limite. ","")&amp;IF(TRIM(M107)="","🔴 Sem justificativa de vínculo: se não explica, não coloque. ","")&amp;IF(N107&lt;&gt;"Sim","🟡 Preço de mercado não conferido. ","")&amp;IF(O107="Sim","🔴 Possível DUPLA COBERTURA: a mesma despesa não pode ser paga duas vezes. ","")&amp;IF(AND(L107="Sim",K107&lt;&gt;"Remuneração do proponente"),"🟡 Pessoa vinculada: este valor SOMA no limite de remuneração do proponente. ","")&amp;IF(P107="","",IF(P107&gt;L_FORNECEDOR,"🔴 Fornecedor acima do limite sobre o valor captado (confira exceções). ",IF(P107&gt;=L_FORNECEDOR*MARGEM,"🟡 Fornecedor perto do limite. ","")))&amp;IF(AND(LEFT(K107,5)="Cachê",F107&lt;&gt;""),IF(F107&gt;IFERROR(VLOOKUP(K107,TAB_CATEGORIAS,2,FALSE),9E+99),"🔴 Cachê acima do limite: só com outras fontes ou apreciação da CNIC. ",""),"")&amp;IF(AND(LEFT(H107,6)="Outras",K107&lt;&gt;""),"🟡 Outras fontes: confirme que o recurso existe e está comprometido. ",""))))</f>
        <v/>
      </c>
    </row>
    <row r="108">
      <c r="A108" s="20" t="n"/>
      <c r="B108" s="20" t="n"/>
      <c r="C108" s="20" t="n"/>
      <c r="D108" s="20" t="n"/>
      <c r="E108" s="20" t="n"/>
      <c r="F108" s="17" t="n"/>
      <c r="G108" s="26">
        <f>IF(OR(E108="",F108=""),"",E108*F108)</f>
        <v/>
      </c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7">
        <f>IF(OR(I108="",G108="",LEFT(H108,9)&lt;&gt;"Incentivo",VALOR_CAPTADO=0),"",SUMIFS($G$8:$G$207,$I$8:$I$207,I108,$H$8:$H$207,"Incentivo*")/VALOR_CAPTADO)</f>
        <v/>
      </c>
      <c r="Q108" s="21">
        <f>IF(AND(B108="",G108=""),"",IF(IF(AND(B108="",G108=""),"",IF(OR(E108="",F108=""),"🟡 Falta quantidade ou valor. ","")&amp;IF(H108="","🟡 Informe a fonte. ","")&amp;IF(K108="","🟡 Classifique a categoria de limite. ","")&amp;IF(TRIM(M108)="","🔴 Sem justificativa de vínculo: se não explica, não coloque. ","")&amp;IF(N108&lt;&gt;"Sim","🟡 Preço de mercado não conferido. ","")&amp;IF(O108="Sim","🔴 Possível DUPLA COBERTURA: a mesma despesa não pode ser paga duas vezes. ","")&amp;IF(AND(L108="Sim",K108&lt;&gt;"Remuneração do proponente"),"🟡 Pessoa vinculada: este valor SOMA no limite de remuneração do proponente. ","")&amp;IF(P108="","",IF(P108&gt;L_FORNECEDOR,"🔴 Fornecedor acima do limite sobre o valor captado (confira exceções). ",IF(P108&gt;=L_FORNECEDOR*MARGEM,"🟡 Fornecedor perto do limite. ","")))&amp;IF(AND(LEFT(K108,5)="Cachê",F108&lt;&gt;""),IF(F108&gt;IFERROR(VLOOKUP(K108,TAB_CATEGORIAS,2,FALSE),9E+99),"🔴 Cachê acima do limite: só com outras fontes ou apreciação da CNIC. ",""),"")&amp;IF(AND(LEFT(H108,6)="Outras",K108&lt;&gt;""),"🟡 Outras fontes: confirme que o recurso existe e está comprometido. ",""))="","🟢 CONFERIDO",IF(AND(B108="",G108=""),"",IF(OR(E108="",F108=""),"🟡 Falta quantidade ou valor. ","")&amp;IF(H108="","🟡 Informe a fonte. ","")&amp;IF(K108="","🟡 Classifique a categoria de limite. ","")&amp;IF(TRIM(M108)="","🔴 Sem justificativa de vínculo: se não explica, não coloque. ","")&amp;IF(N108&lt;&gt;"Sim","🟡 Preço de mercado não conferido. ","")&amp;IF(O108="Sim","🔴 Possível DUPLA COBERTURA: a mesma despesa não pode ser paga duas vezes. ","")&amp;IF(AND(L108="Sim",K108&lt;&gt;"Remuneração do proponente"),"🟡 Pessoa vinculada: este valor SOMA no limite de remuneração do proponente. ","")&amp;IF(P108="","",IF(P108&gt;L_FORNECEDOR,"🔴 Fornecedor acima do limite sobre o valor captado (confira exceções). ",IF(P108&gt;=L_FORNECEDOR*MARGEM,"🟡 Fornecedor perto do limite. ","")))&amp;IF(AND(LEFT(K108,5)="Cachê",F108&lt;&gt;""),IF(F108&gt;IFERROR(VLOOKUP(K108,TAB_CATEGORIAS,2,FALSE),9E+99),"🔴 Cachê acima do limite: só com outras fontes ou apreciação da CNIC. ",""),"")&amp;IF(AND(LEFT(H108,6)="Outras",K108&lt;&gt;""),"🟡 Outras fontes: confirme que o recurso existe e está comprometido. ",""))))</f>
        <v/>
      </c>
    </row>
    <row r="109">
      <c r="A109" s="20" t="n"/>
      <c r="B109" s="20" t="n"/>
      <c r="C109" s="20" t="n"/>
      <c r="D109" s="20" t="n"/>
      <c r="E109" s="20" t="n"/>
      <c r="F109" s="17" t="n"/>
      <c r="G109" s="26">
        <f>IF(OR(E109="",F109=""),"",E109*F109)</f>
        <v/>
      </c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7">
        <f>IF(OR(I109="",G109="",LEFT(H109,9)&lt;&gt;"Incentivo",VALOR_CAPTADO=0),"",SUMIFS($G$8:$G$207,$I$8:$I$207,I109,$H$8:$H$207,"Incentivo*")/VALOR_CAPTADO)</f>
        <v/>
      </c>
      <c r="Q109" s="21">
        <f>IF(AND(B109="",G109=""),"",IF(IF(AND(B109="",G109=""),"",IF(OR(E109="",F109=""),"🟡 Falta quantidade ou valor. ","")&amp;IF(H109="","🟡 Informe a fonte. ","")&amp;IF(K109="","🟡 Classifique a categoria de limite. ","")&amp;IF(TRIM(M109)="","🔴 Sem justificativa de vínculo: se não explica, não coloque. ","")&amp;IF(N109&lt;&gt;"Sim","🟡 Preço de mercado não conferido. ","")&amp;IF(O109="Sim","🔴 Possível DUPLA COBERTURA: a mesma despesa não pode ser paga duas vezes. ","")&amp;IF(AND(L109="Sim",K109&lt;&gt;"Remuneração do proponente"),"🟡 Pessoa vinculada: este valor SOMA no limite de remuneração do proponente. ","")&amp;IF(P109="","",IF(P109&gt;L_FORNECEDOR,"🔴 Fornecedor acima do limite sobre o valor captado (confira exceções). ",IF(P109&gt;=L_FORNECEDOR*MARGEM,"🟡 Fornecedor perto do limite. ","")))&amp;IF(AND(LEFT(K109,5)="Cachê",F109&lt;&gt;""),IF(F109&gt;IFERROR(VLOOKUP(K109,TAB_CATEGORIAS,2,FALSE),9E+99),"🔴 Cachê acima do limite: só com outras fontes ou apreciação da CNIC. ",""),"")&amp;IF(AND(LEFT(H109,6)="Outras",K109&lt;&gt;""),"🟡 Outras fontes: confirme que o recurso existe e está comprometido. ",""))="","🟢 CONFERIDO",IF(AND(B109="",G109=""),"",IF(OR(E109="",F109=""),"🟡 Falta quantidade ou valor. ","")&amp;IF(H109="","🟡 Informe a fonte. ","")&amp;IF(K109="","🟡 Classifique a categoria de limite. ","")&amp;IF(TRIM(M109)="","🔴 Sem justificativa de vínculo: se não explica, não coloque. ","")&amp;IF(N109&lt;&gt;"Sim","🟡 Preço de mercado não conferido. ","")&amp;IF(O109="Sim","🔴 Possível DUPLA COBERTURA: a mesma despesa não pode ser paga duas vezes. ","")&amp;IF(AND(L109="Sim",K109&lt;&gt;"Remuneração do proponente"),"🟡 Pessoa vinculada: este valor SOMA no limite de remuneração do proponente. ","")&amp;IF(P109="","",IF(P109&gt;L_FORNECEDOR,"🔴 Fornecedor acima do limite sobre o valor captado (confira exceções). ",IF(P109&gt;=L_FORNECEDOR*MARGEM,"🟡 Fornecedor perto do limite. ","")))&amp;IF(AND(LEFT(K109,5)="Cachê",F109&lt;&gt;""),IF(F109&gt;IFERROR(VLOOKUP(K109,TAB_CATEGORIAS,2,FALSE),9E+99),"🔴 Cachê acima do limite: só com outras fontes ou apreciação da CNIC. ",""),"")&amp;IF(AND(LEFT(H109,6)="Outras",K109&lt;&gt;""),"🟡 Outras fontes: confirme que o recurso existe e está comprometido. ",""))))</f>
        <v/>
      </c>
    </row>
    <row r="110">
      <c r="A110" s="20" t="n"/>
      <c r="B110" s="20" t="n"/>
      <c r="C110" s="20" t="n"/>
      <c r="D110" s="20" t="n"/>
      <c r="E110" s="20" t="n"/>
      <c r="F110" s="17" t="n"/>
      <c r="G110" s="26">
        <f>IF(OR(E110="",F110=""),"",E110*F110)</f>
        <v/>
      </c>
      <c r="H110" s="20" t="n"/>
      <c r="I110" s="20" t="n"/>
      <c r="J110" s="20" t="n"/>
      <c r="K110" s="20" t="n"/>
      <c r="L110" s="20" t="n"/>
      <c r="M110" s="20" t="n"/>
      <c r="N110" s="20" t="n"/>
      <c r="O110" s="20" t="n"/>
      <c r="P110" s="27">
        <f>IF(OR(I110="",G110="",LEFT(H110,9)&lt;&gt;"Incentivo",VALOR_CAPTADO=0),"",SUMIFS($G$8:$G$207,$I$8:$I$207,I110,$H$8:$H$207,"Incentivo*")/VALOR_CAPTADO)</f>
        <v/>
      </c>
      <c r="Q110" s="21">
        <f>IF(AND(B110="",G110=""),"",IF(IF(AND(B110="",G110=""),"",IF(OR(E110="",F110=""),"🟡 Falta quantidade ou valor. ","")&amp;IF(H110="","🟡 Informe a fonte. ","")&amp;IF(K110="","🟡 Classifique a categoria de limite. ","")&amp;IF(TRIM(M110)="","🔴 Sem justificativa de vínculo: se não explica, não coloque. ","")&amp;IF(N110&lt;&gt;"Sim","🟡 Preço de mercado não conferido. ","")&amp;IF(O110="Sim","🔴 Possível DUPLA COBERTURA: a mesma despesa não pode ser paga duas vezes. ","")&amp;IF(AND(L110="Sim",K110&lt;&gt;"Remuneração do proponente"),"🟡 Pessoa vinculada: este valor SOMA no limite de remuneração do proponente. ","")&amp;IF(P110="","",IF(P110&gt;L_FORNECEDOR,"🔴 Fornecedor acima do limite sobre o valor captado (confira exceções). ",IF(P110&gt;=L_FORNECEDOR*MARGEM,"🟡 Fornecedor perto do limite. ","")))&amp;IF(AND(LEFT(K110,5)="Cachê",F110&lt;&gt;""),IF(F110&gt;IFERROR(VLOOKUP(K110,TAB_CATEGORIAS,2,FALSE),9E+99),"🔴 Cachê acima do limite: só com outras fontes ou apreciação da CNIC. ",""),"")&amp;IF(AND(LEFT(H110,6)="Outras",K110&lt;&gt;""),"🟡 Outras fontes: confirme que o recurso existe e está comprometido. ",""))="","🟢 CONFERIDO",IF(AND(B110="",G110=""),"",IF(OR(E110="",F110=""),"🟡 Falta quantidade ou valor. ","")&amp;IF(H110="","🟡 Informe a fonte. ","")&amp;IF(K110="","🟡 Classifique a categoria de limite. ","")&amp;IF(TRIM(M110)="","🔴 Sem justificativa de vínculo: se não explica, não coloque. ","")&amp;IF(N110&lt;&gt;"Sim","🟡 Preço de mercado não conferido. ","")&amp;IF(O110="Sim","🔴 Possível DUPLA COBERTURA: a mesma despesa não pode ser paga duas vezes. ","")&amp;IF(AND(L110="Sim",K110&lt;&gt;"Remuneração do proponente"),"🟡 Pessoa vinculada: este valor SOMA no limite de remuneração do proponente. ","")&amp;IF(P110="","",IF(P110&gt;L_FORNECEDOR,"🔴 Fornecedor acima do limite sobre o valor captado (confira exceções). ",IF(P110&gt;=L_FORNECEDOR*MARGEM,"🟡 Fornecedor perto do limite. ","")))&amp;IF(AND(LEFT(K110,5)="Cachê",F110&lt;&gt;""),IF(F110&gt;IFERROR(VLOOKUP(K110,TAB_CATEGORIAS,2,FALSE),9E+99),"🔴 Cachê acima do limite: só com outras fontes ou apreciação da CNIC. ",""),"")&amp;IF(AND(LEFT(H110,6)="Outras",K110&lt;&gt;""),"🟡 Outras fontes: confirme que o recurso existe e está comprometido. ",""))))</f>
        <v/>
      </c>
    </row>
    <row r="111">
      <c r="A111" s="20" t="n"/>
      <c r="B111" s="20" t="n"/>
      <c r="C111" s="20" t="n"/>
      <c r="D111" s="20" t="n"/>
      <c r="E111" s="20" t="n"/>
      <c r="F111" s="17" t="n"/>
      <c r="G111" s="26">
        <f>IF(OR(E111="",F111=""),"",E111*F111)</f>
        <v/>
      </c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7">
        <f>IF(OR(I111="",G111="",LEFT(H111,9)&lt;&gt;"Incentivo",VALOR_CAPTADO=0),"",SUMIFS($G$8:$G$207,$I$8:$I$207,I111,$H$8:$H$207,"Incentivo*")/VALOR_CAPTADO)</f>
        <v/>
      </c>
      <c r="Q111" s="21">
        <f>IF(AND(B111="",G111=""),"",IF(IF(AND(B111="",G111=""),"",IF(OR(E111="",F111=""),"🟡 Falta quantidade ou valor. ","")&amp;IF(H111="","🟡 Informe a fonte. ","")&amp;IF(K111="","🟡 Classifique a categoria de limite. ","")&amp;IF(TRIM(M111)="","🔴 Sem justificativa de vínculo: se não explica, não coloque. ","")&amp;IF(N111&lt;&gt;"Sim","🟡 Preço de mercado não conferido. ","")&amp;IF(O111="Sim","🔴 Possível DUPLA COBERTURA: a mesma despesa não pode ser paga duas vezes. ","")&amp;IF(AND(L111="Sim",K111&lt;&gt;"Remuneração do proponente"),"🟡 Pessoa vinculada: este valor SOMA no limite de remuneração do proponente. ","")&amp;IF(P111="","",IF(P111&gt;L_FORNECEDOR,"🔴 Fornecedor acima do limite sobre o valor captado (confira exceções). ",IF(P111&gt;=L_FORNECEDOR*MARGEM,"🟡 Fornecedor perto do limite. ","")))&amp;IF(AND(LEFT(K111,5)="Cachê",F111&lt;&gt;""),IF(F111&gt;IFERROR(VLOOKUP(K111,TAB_CATEGORIAS,2,FALSE),9E+99),"🔴 Cachê acima do limite: só com outras fontes ou apreciação da CNIC. ",""),"")&amp;IF(AND(LEFT(H111,6)="Outras",K111&lt;&gt;""),"🟡 Outras fontes: confirme que o recurso existe e está comprometido. ",""))="","🟢 CONFERIDO",IF(AND(B111="",G111=""),"",IF(OR(E111="",F111=""),"🟡 Falta quantidade ou valor. ","")&amp;IF(H111="","🟡 Informe a fonte. ","")&amp;IF(K111="","🟡 Classifique a categoria de limite. ","")&amp;IF(TRIM(M111)="","🔴 Sem justificativa de vínculo: se não explica, não coloque. ","")&amp;IF(N111&lt;&gt;"Sim","🟡 Preço de mercado não conferido. ","")&amp;IF(O111="Sim","🔴 Possível DUPLA COBERTURA: a mesma despesa não pode ser paga duas vezes. ","")&amp;IF(AND(L111="Sim",K111&lt;&gt;"Remuneração do proponente"),"🟡 Pessoa vinculada: este valor SOMA no limite de remuneração do proponente. ","")&amp;IF(P111="","",IF(P111&gt;L_FORNECEDOR,"🔴 Fornecedor acima do limite sobre o valor captado (confira exceções). ",IF(P111&gt;=L_FORNECEDOR*MARGEM,"🟡 Fornecedor perto do limite. ","")))&amp;IF(AND(LEFT(K111,5)="Cachê",F111&lt;&gt;""),IF(F111&gt;IFERROR(VLOOKUP(K111,TAB_CATEGORIAS,2,FALSE),9E+99),"🔴 Cachê acima do limite: só com outras fontes ou apreciação da CNIC. ",""),"")&amp;IF(AND(LEFT(H111,6)="Outras",K111&lt;&gt;""),"🟡 Outras fontes: confirme que o recurso existe e está comprometido. ",""))))</f>
        <v/>
      </c>
    </row>
    <row r="112">
      <c r="A112" s="20" t="n"/>
      <c r="B112" s="20" t="n"/>
      <c r="C112" s="20" t="n"/>
      <c r="D112" s="20" t="n"/>
      <c r="E112" s="20" t="n"/>
      <c r="F112" s="17" t="n"/>
      <c r="G112" s="26">
        <f>IF(OR(E112="",F112=""),"",E112*F112)</f>
        <v/>
      </c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7">
        <f>IF(OR(I112="",G112="",LEFT(H112,9)&lt;&gt;"Incentivo",VALOR_CAPTADO=0),"",SUMIFS($G$8:$G$207,$I$8:$I$207,I112,$H$8:$H$207,"Incentivo*")/VALOR_CAPTADO)</f>
        <v/>
      </c>
      <c r="Q112" s="21">
        <f>IF(AND(B112="",G112=""),"",IF(IF(AND(B112="",G112=""),"",IF(OR(E112="",F112=""),"🟡 Falta quantidade ou valor. ","")&amp;IF(H112="","🟡 Informe a fonte. ","")&amp;IF(K112="","🟡 Classifique a categoria de limite. ","")&amp;IF(TRIM(M112)="","🔴 Sem justificativa de vínculo: se não explica, não coloque. ","")&amp;IF(N112&lt;&gt;"Sim","🟡 Preço de mercado não conferido. ","")&amp;IF(O112="Sim","🔴 Possível DUPLA COBERTURA: a mesma despesa não pode ser paga duas vezes. ","")&amp;IF(AND(L112="Sim",K112&lt;&gt;"Remuneração do proponente"),"🟡 Pessoa vinculada: este valor SOMA no limite de remuneração do proponente. ","")&amp;IF(P112="","",IF(P112&gt;L_FORNECEDOR,"🔴 Fornecedor acima do limite sobre o valor captado (confira exceções). ",IF(P112&gt;=L_FORNECEDOR*MARGEM,"🟡 Fornecedor perto do limite. ","")))&amp;IF(AND(LEFT(K112,5)="Cachê",F112&lt;&gt;""),IF(F112&gt;IFERROR(VLOOKUP(K112,TAB_CATEGORIAS,2,FALSE),9E+99),"🔴 Cachê acima do limite: só com outras fontes ou apreciação da CNIC. ",""),"")&amp;IF(AND(LEFT(H112,6)="Outras",K112&lt;&gt;""),"🟡 Outras fontes: confirme que o recurso existe e está comprometido. ",""))="","🟢 CONFERIDO",IF(AND(B112="",G112=""),"",IF(OR(E112="",F112=""),"🟡 Falta quantidade ou valor. ","")&amp;IF(H112="","🟡 Informe a fonte. ","")&amp;IF(K112="","🟡 Classifique a categoria de limite. ","")&amp;IF(TRIM(M112)="","🔴 Sem justificativa de vínculo: se não explica, não coloque. ","")&amp;IF(N112&lt;&gt;"Sim","🟡 Preço de mercado não conferido. ","")&amp;IF(O112="Sim","🔴 Possível DUPLA COBERTURA: a mesma despesa não pode ser paga duas vezes. ","")&amp;IF(AND(L112="Sim",K112&lt;&gt;"Remuneração do proponente"),"🟡 Pessoa vinculada: este valor SOMA no limite de remuneração do proponente. ","")&amp;IF(P112="","",IF(P112&gt;L_FORNECEDOR,"🔴 Fornecedor acima do limite sobre o valor captado (confira exceções). ",IF(P112&gt;=L_FORNECEDOR*MARGEM,"🟡 Fornecedor perto do limite. ","")))&amp;IF(AND(LEFT(K112,5)="Cachê",F112&lt;&gt;""),IF(F112&gt;IFERROR(VLOOKUP(K112,TAB_CATEGORIAS,2,FALSE),9E+99),"🔴 Cachê acima do limite: só com outras fontes ou apreciação da CNIC. ",""),"")&amp;IF(AND(LEFT(H112,6)="Outras",K112&lt;&gt;""),"🟡 Outras fontes: confirme que o recurso existe e está comprometido. ",""))))</f>
        <v/>
      </c>
    </row>
    <row r="113">
      <c r="A113" s="20" t="n"/>
      <c r="B113" s="20" t="n"/>
      <c r="C113" s="20" t="n"/>
      <c r="D113" s="20" t="n"/>
      <c r="E113" s="20" t="n"/>
      <c r="F113" s="17" t="n"/>
      <c r="G113" s="26">
        <f>IF(OR(E113="",F113=""),"",E113*F113)</f>
        <v/>
      </c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7">
        <f>IF(OR(I113="",G113="",LEFT(H113,9)&lt;&gt;"Incentivo",VALOR_CAPTADO=0),"",SUMIFS($G$8:$G$207,$I$8:$I$207,I113,$H$8:$H$207,"Incentivo*")/VALOR_CAPTADO)</f>
        <v/>
      </c>
      <c r="Q113" s="21">
        <f>IF(AND(B113="",G113=""),"",IF(IF(AND(B113="",G113=""),"",IF(OR(E113="",F113=""),"🟡 Falta quantidade ou valor. ","")&amp;IF(H113="","🟡 Informe a fonte. ","")&amp;IF(K113="","🟡 Classifique a categoria de limite. ","")&amp;IF(TRIM(M113)="","🔴 Sem justificativa de vínculo: se não explica, não coloque. ","")&amp;IF(N113&lt;&gt;"Sim","🟡 Preço de mercado não conferido. ","")&amp;IF(O113="Sim","🔴 Possível DUPLA COBERTURA: a mesma despesa não pode ser paga duas vezes. ","")&amp;IF(AND(L113="Sim",K113&lt;&gt;"Remuneração do proponente"),"🟡 Pessoa vinculada: este valor SOMA no limite de remuneração do proponente. ","")&amp;IF(P113="","",IF(P113&gt;L_FORNECEDOR,"🔴 Fornecedor acima do limite sobre o valor captado (confira exceções). ",IF(P113&gt;=L_FORNECEDOR*MARGEM,"🟡 Fornecedor perto do limite. ","")))&amp;IF(AND(LEFT(K113,5)="Cachê",F113&lt;&gt;""),IF(F113&gt;IFERROR(VLOOKUP(K113,TAB_CATEGORIAS,2,FALSE),9E+99),"🔴 Cachê acima do limite: só com outras fontes ou apreciação da CNIC. ",""),"")&amp;IF(AND(LEFT(H113,6)="Outras",K113&lt;&gt;""),"🟡 Outras fontes: confirme que o recurso existe e está comprometido. ",""))="","🟢 CONFERIDO",IF(AND(B113="",G113=""),"",IF(OR(E113="",F113=""),"🟡 Falta quantidade ou valor. ","")&amp;IF(H113="","🟡 Informe a fonte. ","")&amp;IF(K113="","🟡 Classifique a categoria de limite. ","")&amp;IF(TRIM(M113)="","🔴 Sem justificativa de vínculo: se não explica, não coloque. ","")&amp;IF(N113&lt;&gt;"Sim","🟡 Preço de mercado não conferido. ","")&amp;IF(O113="Sim","🔴 Possível DUPLA COBERTURA: a mesma despesa não pode ser paga duas vezes. ","")&amp;IF(AND(L113="Sim",K113&lt;&gt;"Remuneração do proponente"),"🟡 Pessoa vinculada: este valor SOMA no limite de remuneração do proponente. ","")&amp;IF(P113="","",IF(P113&gt;L_FORNECEDOR,"🔴 Fornecedor acima do limite sobre o valor captado (confira exceções). ",IF(P113&gt;=L_FORNECEDOR*MARGEM,"🟡 Fornecedor perto do limite. ","")))&amp;IF(AND(LEFT(K113,5)="Cachê",F113&lt;&gt;""),IF(F113&gt;IFERROR(VLOOKUP(K113,TAB_CATEGORIAS,2,FALSE),9E+99),"🔴 Cachê acima do limite: só com outras fontes ou apreciação da CNIC. ",""),"")&amp;IF(AND(LEFT(H113,6)="Outras",K113&lt;&gt;""),"🟡 Outras fontes: confirme que o recurso existe e está comprometido. ",""))))</f>
        <v/>
      </c>
    </row>
    <row r="114">
      <c r="A114" s="20" t="n"/>
      <c r="B114" s="20" t="n"/>
      <c r="C114" s="20" t="n"/>
      <c r="D114" s="20" t="n"/>
      <c r="E114" s="20" t="n"/>
      <c r="F114" s="17" t="n"/>
      <c r="G114" s="26">
        <f>IF(OR(E114="",F114=""),"",E114*F114)</f>
        <v/>
      </c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7">
        <f>IF(OR(I114="",G114="",LEFT(H114,9)&lt;&gt;"Incentivo",VALOR_CAPTADO=0),"",SUMIFS($G$8:$G$207,$I$8:$I$207,I114,$H$8:$H$207,"Incentivo*")/VALOR_CAPTADO)</f>
        <v/>
      </c>
      <c r="Q114" s="21">
        <f>IF(AND(B114="",G114=""),"",IF(IF(AND(B114="",G114=""),"",IF(OR(E114="",F114=""),"🟡 Falta quantidade ou valor. ","")&amp;IF(H114="","🟡 Informe a fonte. ","")&amp;IF(K114="","🟡 Classifique a categoria de limite. ","")&amp;IF(TRIM(M114)="","🔴 Sem justificativa de vínculo: se não explica, não coloque. ","")&amp;IF(N114&lt;&gt;"Sim","🟡 Preço de mercado não conferido. ","")&amp;IF(O114="Sim","🔴 Possível DUPLA COBERTURA: a mesma despesa não pode ser paga duas vezes. ","")&amp;IF(AND(L114="Sim",K114&lt;&gt;"Remuneração do proponente"),"🟡 Pessoa vinculada: este valor SOMA no limite de remuneração do proponente. ","")&amp;IF(P114="","",IF(P114&gt;L_FORNECEDOR,"🔴 Fornecedor acima do limite sobre o valor captado (confira exceções). ",IF(P114&gt;=L_FORNECEDOR*MARGEM,"🟡 Fornecedor perto do limite. ","")))&amp;IF(AND(LEFT(K114,5)="Cachê",F114&lt;&gt;""),IF(F114&gt;IFERROR(VLOOKUP(K114,TAB_CATEGORIAS,2,FALSE),9E+99),"🔴 Cachê acima do limite: só com outras fontes ou apreciação da CNIC. ",""),"")&amp;IF(AND(LEFT(H114,6)="Outras",K114&lt;&gt;""),"🟡 Outras fontes: confirme que o recurso existe e está comprometido. ",""))="","🟢 CONFERIDO",IF(AND(B114="",G114=""),"",IF(OR(E114="",F114=""),"🟡 Falta quantidade ou valor. ","")&amp;IF(H114="","🟡 Informe a fonte. ","")&amp;IF(K114="","🟡 Classifique a categoria de limite. ","")&amp;IF(TRIM(M114)="","🔴 Sem justificativa de vínculo: se não explica, não coloque. ","")&amp;IF(N114&lt;&gt;"Sim","🟡 Preço de mercado não conferido. ","")&amp;IF(O114="Sim","🔴 Possível DUPLA COBERTURA: a mesma despesa não pode ser paga duas vezes. ","")&amp;IF(AND(L114="Sim",K114&lt;&gt;"Remuneração do proponente"),"🟡 Pessoa vinculada: este valor SOMA no limite de remuneração do proponente. ","")&amp;IF(P114="","",IF(P114&gt;L_FORNECEDOR,"🔴 Fornecedor acima do limite sobre o valor captado (confira exceções). ",IF(P114&gt;=L_FORNECEDOR*MARGEM,"🟡 Fornecedor perto do limite. ","")))&amp;IF(AND(LEFT(K114,5)="Cachê",F114&lt;&gt;""),IF(F114&gt;IFERROR(VLOOKUP(K114,TAB_CATEGORIAS,2,FALSE),9E+99),"🔴 Cachê acima do limite: só com outras fontes ou apreciação da CNIC. ",""),"")&amp;IF(AND(LEFT(H114,6)="Outras",K114&lt;&gt;""),"🟡 Outras fontes: confirme que o recurso existe e está comprometido. ",""))))</f>
        <v/>
      </c>
    </row>
    <row r="115">
      <c r="A115" s="20" t="n"/>
      <c r="B115" s="20" t="n"/>
      <c r="C115" s="20" t="n"/>
      <c r="D115" s="20" t="n"/>
      <c r="E115" s="20" t="n"/>
      <c r="F115" s="17" t="n"/>
      <c r="G115" s="26">
        <f>IF(OR(E115="",F115=""),"",E115*F115)</f>
        <v/>
      </c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7">
        <f>IF(OR(I115="",G115="",LEFT(H115,9)&lt;&gt;"Incentivo",VALOR_CAPTADO=0),"",SUMIFS($G$8:$G$207,$I$8:$I$207,I115,$H$8:$H$207,"Incentivo*")/VALOR_CAPTADO)</f>
        <v/>
      </c>
      <c r="Q115" s="21">
        <f>IF(AND(B115="",G115=""),"",IF(IF(AND(B115="",G115=""),"",IF(OR(E115="",F115=""),"🟡 Falta quantidade ou valor. ","")&amp;IF(H115="","🟡 Informe a fonte. ","")&amp;IF(K115="","🟡 Classifique a categoria de limite. ","")&amp;IF(TRIM(M115)="","🔴 Sem justificativa de vínculo: se não explica, não coloque. ","")&amp;IF(N115&lt;&gt;"Sim","🟡 Preço de mercado não conferido. ","")&amp;IF(O115="Sim","🔴 Possível DUPLA COBERTURA: a mesma despesa não pode ser paga duas vezes. ","")&amp;IF(AND(L115="Sim",K115&lt;&gt;"Remuneração do proponente"),"🟡 Pessoa vinculada: este valor SOMA no limite de remuneração do proponente. ","")&amp;IF(P115="","",IF(P115&gt;L_FORNECEDOR,"🔴 Fornecedor acima do limite sobre o valor captado (confira exceções). ",IF(P115&gt;=L_FORNECEDOR*MARGEM,"🟡 Fornecedor perto do limite. ","")))&amp;IF(AND(LEFT(K115,5)="Cachê",F115&lt;&gt;""),IF(F115&gt;IFERROR(VLOOKUP(K115,TAB_CATEGORIAS,2,FALSE),9E+99),"🔴 Cachê acima do limite: só com outras fontes ou apreciação da CNIC. ",""),"")&amp;IF(AND(LEFT(H115,6)="Outras",K115&lt;&gt;""),"🟡 Outras fontes: confirme que o recurso existe e está comprometido. ",""))="","🟢 CONFERIDO",IF(AND(B115="",G115=""),"",IF(OR(E115="",F115=""),"🟡 Falta quantidade ou valor. ","")&amp;IF(H115="","🟡 Informe a fonte. ","")&amp;IF(K115="","🟡 Classifique a categoria de limite. ","")&amp;IF(TRIM(M115)="","🔴 Sem justificativa de vínculo: se não explica, não coloque. ","")&amp;IF(N115&lt;&gt;"Sim","🟡 Preço de mercado não conferido. ","")&amp;IF(O115="Sim","🔴 Possível DUPLA COBERTURA: a mesma despesa não pode ser paga duas vezes. ","")&amp;IF(AND(L115="Sim",K115&lt;&gt;"Remuneração do proponente"),"🟡 Pessoa vinculada: este valor SOMA no limite de remuneração do proponente. ","")&amp;IF(P115="","",IF(P115&gt;L_FORNECEDOR,"🔴 Fornecedor acima do limite sobre o valor captado (confira exceções). ",IF(P115&gt;=L_FORNECEDOR*MARGEM,"🟡 Fornecedor perto do limite. ","")))&amp;IF(AND(LEFT(K115,5)="Cachê",F115&lt;&gt;""),IF(F115&gt;IFERROR(VLOOKUP(K115,TAB_CATEGORIAS,2,FALSE),9E+99),"🔴 Cachê acima do limite: só com outras fontes ou apreciação da CNIC. ",""),"")&amp;IF(AND(LEFT(H115,6)="Outras",K115&lt;&gt;""),"🟡 Outras fontes: confirme que o recurso existe e está comprometido. ",""))))</f>
        <v/>
      </c>
    </row>
    <row r="116">
      <c r="A116" s="20" t="n"/>
      <c r="B116" s="20" t="n"/>
      <c r="C116" s="20" t="n"/>
      <c r="D116" s="20" t="n"/>
      <c r="E116" s="20" t="n"/>
      <c r="F116" s="17" t="n"/>
      <c r="G116" s="26">
        <f>IF(OR(E116="",F116=""),"",E116*F116)</f>
        <v/>
      </c>
      <c r="H116" s="20" t="n"/>
      <c r="I116" s="20" t="n"/>
      <c r="J116" s="20" t="n"/>
      <c r="K116" s="20" t="n"/>
      <c r="L116" s="20" t="n"/>
      <c r="M116" s="20" t="n"/>
      <c r="N116" s="20" t="n"/>
      <c r="O116" s="20" t="n"/>
      <c r="P116" s="27">
        <f>IF(OR(I116="",G116="",LEFT(H116,9)&lt;&gt;"Incentivo",VALOR_CAPTADO=0),"",SUMIFS($G$8:$G$207,$I$8:$I$207,I116,$H$8:$H$207,"Incentivo*")/VALOR_CAPTADO)</f>
        <v/>
      </c>
      <c r="Q116" s="21">
        <f>IF(AND(B116="",G116=""),"",IF(IF(AND(B116="",G116=""),"",IF(OR(E116="",F116=""),"🟡 Falta quantidade ou valor. ","")&amp;IF(H116="","🟡 Informe a fonte. ","")&amp;IF(K116="","🟡 Classifique a categoria de limite. ","")&amp;IF(TRIM(M116)="","🔴 Sem justificativa de vínculo: se não explica, não coloque. ","")&amp;IF(N116&lt;&gt;"Sim","🟡 Preço de mercado não conferido. ","")&amp;IF(O116="Sim","🔴 Possível DUPLA COBERTURA: a mesma despesa não pode ser paga duas vezes. ","")&amp;IF(AND(L116="Sim",K116&lt;&gt;"Remuneração do proponente"),"🟡 Pessoa vinculada: este valor SOMA no limite de remuneração do proponente. ","")&amp;IF(P116="","",IF(P116&gt;L_FORNECEDOR,"🔴 Fornecedor acima do limite sobre o valor captado (confira exceções). ",IF(P116&gt;=L_FORNECEDOR*MARGEM,"🟡 Fornecedor perto do limite. ","")))&amp;IF(AND(LEFT(K116,5)="Cachê",F116&lt;&gt;""),IF(F116&gt;IFERROR(VLOOKUP(K116,TAB_CATEGORIAS,2,FALSE),9E+99),"🔴 Cachê acima do limite: só com outras fontes ou apreciação da CNIC. ",""),"")&amp;IF(AND(LEFT(H116,6)="Outras",K116&lt;&gt;""),"🟡 Outras fontes: confirme que o recurso existe e está comprometido. ",""))="","🟢 CONFERIDO",IF(AND(B116="",G116=""),"",IF(OR(E116="",F116=""),"🟡 Falta quantidade ou valor. ","")&amp;IF(H116="","🟡 Informe a fonte. ","")&amp;IF(K116="","🟡 Classifique a categoria de limite. ","")&amp;IF(TRIM(M116)="","🔴 Sem justificativa de vínculo: se não explica, não coloque. ","")&amp;IF(N116&lt;&gt;"Sim","🟡 Preço de mercado não conferido. ","")&amp;IF(O116="Sim","🔴 Possível DUPLA COBERTURA: a mesma despesa não pode ser paga duas vezes. ","")&amp;IF(AND(L116="Sim",K116&lt;&gt;"Remuneração do proponente"),"🟡 Pessoa vinculada: este valor SOMA no limite de remuneração do proponente. ","")&amp;IF(P116="","",IF(P116&gt;L_FORNECEDOR,"🔴 Fornecedor acima do limite sobre o valor captado (confira exceções). ",IF(P116&gt;=L_FORNECEDOR*MARGEM,"🟡 Fornecedor perto do limite. ","")))&amp;IF(AND(LEFT(K116,5)="Cachê",F116&lt;&gt;""),IF(F116&gt;IFERROR(VLOOKUP(K116,TAB_CATEGORIAS,2,FALSE),9E+99),"🔴 Cachê acima do limite: só com outras fontes ou apreciação da CNIC. ",""),"")&amp;IF(AND(LEFT(H116,6)="Outras",K116&lt;&gt;""),"🟡 Outras fontes: confirme que o recurso existe e está comprometido. ",""))))</f>
        <v/>
      </c>
    </row>
    <row r="117">
      <c r="A117" s="20" t="n"/>
      <c r="B117" s="20" t="n"/>
      <c r="C117" s="20" t="n"/>
      <c r="D117" s="20" t="n"/>
      <c r="E117" s="20" t="n"/>
      <c r="F117" s="17" t="n"/>
      <c r="G117" s="26">
        <f>IF(OR(E117="",F117=""),"",E117*F117)</f>
        <v/>
      </c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7">
        <f>IF(OR(I117="",G117="",LEFT(H117,9)&lt;&gt;"Incentivo",VALOR_CAPTADO=0),"",SUMIFS($G$8:$G$207,$I$8:$I$207,I117,$H$8:$H$207,"Incentivo*")/VALOR_CAPTADO)</f>
        <v/>
      </c>
      <c r="Q117" s="21">
        <f>IF(AND(B117="",G117=""),"",IF(IF(AND(B117="",G117=""),"",IF(OR(E117="",F117=""),"🟡 Falta quantidade ou valor. ","")&amp;IF(H117="","🟡 Informe a fonte. ","")&amp;IF(K117="","🟡 Classifique a categoria de limite. ","")&amp;IF(TRIM(M117)="","🔴 Sem justificativa de vínculo: se não explica, não coloque. ","")&amp;IF(N117&lt;&gt;"Sim","🟡 Preço de mercado não conferido. ","")&amp;IF(O117="Sim","🔴 Possível DUPLA COBERTURA: a mesma despesa não pode ser paga duas vezes. ","")&amp;IF(AND(L117="Sim",K117&lt;&gt;"Remuneração do proponente"),"🟡 Pessoa vinculada: este valor SOMA no limite de remuneração do proponente. ","")&amp;IF(P117="","",IF(P117&gt;L_FORNECEDOR,"🔴 Fornecedor acima do limite sobre o valor captado (confira exceções). ",IF(P117&gt;=L_FORNECEDOR*MARGEM,"🟡 Fornecedor perto do limite. ","")))&amp;IF(AND(LEFT(K117,5)="Cachê",F117&lt;&gt;""),IF(F117&gt;IFERROR(VLOOKUP(K117,TAB_CATEGORIAS,2,FALSE),9E+99),"🔴 Cachê acima do limite: só com outras fontes ou apreciação da CNIC. ",""),"")&amp;IF(AND(LEFT(H117,6)="Outras",K117&lt;&gt;""),"🟡 Outras fontes: confirme que o recurso existe e está comprometido. ",""))="","🟢 CONFERIDO",IF(AND(B117="",G117=""),"",IF(OR(E117="",F117=""),"🟡 Falta quantidade ou valor. ","")&amp;IF(H117="","🟡 Informe a fonte. ","")&amp;IF(K117="","🟡 Classifique a categoria de limite. ","")&amp;IF(TRIM(M117)="","🔴 Sem justificativa de vínculo: se não explica, não coloque. ","")&amp;IF(N117&lt;&gt;"Sim","🟡 Preço de mercado não conferido. ","")&amp;IF(O117="Sim","🔴 Possível DUPLA COBERTURA: a mesma despesa não pode ser paga duas vezes. ","")&amp;IF(AND(L117="Sim",K117&lt;&gt;"Remuneração do proponente"),"🟡 Pessoa vinculada: este valor SOMA no limite de remuneração do proponente. ","")&amp;IF(P117="","",IF(P117&gt;L_FORNECEDOR,"🔴 Fornecedor acima do limite sobre o valor captado (confira exceções). ",IF(P117&gt;=L_FORNECEDOR*MARGEM,"🟡 Fornecedor perto do limite. ","")))&amp;IF(AND(LEFT(K117,5)="Cachê",F117&lt;&gt;""),IF(F117&gt;IFERROR(VLOOKUP(K117,TAB_CATEGORIAS,2,FALSE),9E+99),"🔴 Cachê acima do limite: só com outras fontes ou apreciação da CNIC. ",""),"")&amp;IF(AND(LEFT(H117,6)="Outras",K117&lt;&gt;""),"🟡 Outras fontes: confirme que o recurso existe e está comprometido. ",""))))</f>
        <v/>
      </c>
    </row>
    <row r="118">
      <c r="A118" s="20" t="n"/>
      <c r="B118" s="20" t="n"/>
      <c r="C118" s="20" t="n"/>
      <c r="D118" s="20" t="n"/>
      <c r="E118" s="20" t="n"/>
      <c r="F118" s="17" t="n"/>
      <c r="G118" s="26">
        <f>IF(OR(E118="",F118=""),"",E118*F118)</f>
        <v/>
      </c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27">
        <f>IF(OR(I118="",G118="",LEFT(H118,9)&lt;&gt;"Incentivo",VALOR_CAPTADO=0),"",SUMIFS($G$8:$G$207,$I$8:$I$207,I118,$H$8:$H$207,"Incentivo*")/VALOR_CAPTADO)</f>
        <v/>
      </c>
      <c r="Q118" s="21">
        <f>IF(AND(B118="",G118=""),"",IF(IF(AND(B118="",G118=""),"",IF(OR(E118="",F118=""),"🟡 Falta quantidade ou valor. ","")&amp;IF(H118="","🟡 Informe a fonte. ","")&amp;IF(K118="","🟡 Classifique a categoria de limite. ","")&amp;IF(TRIM(M118)="","🔴 Sem justificativa de vínculo: se não explica, não coloque. ","")&amp;IF(N118&lt;&gt;"Sim","🟡 Preço de mercado não conferido. ","")&amp;IF(O118="Sim","🔴 Possível DUPLA COBERTURA: a mesma despesa não pode ser paga duas vezes. ","")&amp;IF(AND(L118="Sim",K118&lt;&gt;"Remuneração do proponente"),"🟡 Pessoa vinculada: este valor SOMA no limite de remuneração do proponente. ","")&amp;IF(P118="","",IF(P118&gt;L_FORNECEDOR,"🔴 Fornecedor acima do limite sobre o valor captado (confira exceções). ",IF(P118&gt;=L_FORNECEDOR*MARGEM,"🟡 Fornecedor perto do limite. ","")))&amp;IF(AND(LEFT(K118,5)="Cachê",F118&lt;&gt;""),IF(F118&gt;IFERROR(VLOOKUP(K118,TAB_CATEGORIAS,2,FALSE),9E+99),"🔴 Cachê acima do limite: só com outras fontes ou apreciação da CNIC. ",""),"")&amp;IF(AND(LEFT(H118,6)="Outras",K118&lt;&gt;""),"🟡 Outras fontes: confirme que o recurso existe e está comprometido. ",""))="","🟢 CONFERIDO",IF(AND(B118="",G118=""),"",IF(OR(E118="",F118=""),"🟡 Falta quantidade ou valor. ","")&amp;IF(H118="","🟡 Informe a fonte. ","")&amp;IF(K118="","🟡 Classifique a categoria de limite. ","")&amp;IF(TRIM(M118)="","🔴 Sem justificativa de vínculo: se não explica, não coloque. ","")&amp;IF(N118&lt;&gt;"Sim","🟡 Preço de mercado não conferido. ","")&amp;IF(O118="Sim","🔴 Possível DUPLA COBERTURA: a mesma despesa não pode ser paga duas vezes. ","")&amp;IF(AND(L118="Sim",K118&lt;&gt;"Remuneração do proponente"),"🟡 Pessoa vinculada: este valor SOMA no limite de remuneração do proponente. ","")&amp;IF(P118="","",IF(P118&gt;L_FORNECEDOR,"🔴 Fornecedor acima do limite sobre o valor captado (confira exceções). ",IF(P118&gt;=L_FORNECEDOR*MARGEM,"🟡 Fornecedor perto do limite. ","")))&amp;IF(AND(LEFT(K118,5)="Cachê",F118&lt;&gt;""),IF(F118&gt;IFERROR(VLOOKUP(K118,TAB_CATEGORIAS,2,FALSE),9E+99),"🔴 Cachê acima do limite: só com outras fontes ou apreciação da CNIC. ",""),"")&amp;IF(AND(LEFT(H118,6)="Outras",K118&lt;&gt;""),"🟡 Outras fontes: confirme que o recurso existe e está comprometido. ",""))))</f>
        <v/>
      </c>
    </row>
    <row r="119">
      <c r="A119" s="20" t="n"/>
      <c r="B119" s="20" t="n"/>
      <c r="C119" s="20" t="n"/>
      <c r="D119" s="20" t="n"/>
      <c r="E119" s="20" t="n"/>
      <c r="F119" s="17" t="n"/>
      <c r="G119" s="26">
        <f>IF(OR(E119="",F119=""),"",E119*F119)</f>
        <v/>
      </c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7">
        <f>IF(OR(I119="",G119="",LEFT(H119,9)&lt;&gt;"Incentivo",VALOR_CAPTADO=0),"",SUMIFS($G$8:$G$207,$I$8:$I$207,I119,$H$8:$H$207,"Incentivo*")/VALOR_CAPTADO)</f>
        <v/>
      </c>
      <c r="Q119" s="21">
        <f>IF(AND(B119="",G119=""),"",IF(IF(AND(B119="",G119=""),"",IF(OR(E119="",F119=""),"🟡 Falta quantidade ou valor. ","")&amp;IF(H119="","🟡 Informe a fonte. ","")&amp;IF(K119="","🟡 Classifique a categoria de limite. ","")&amp;IF(TRIM(M119)="","🔴 Sem justificativa de vínculo: se não explica, não coloque. ","")&amp;IF(N119&lt;&gt;"Sim","🟡 Preço de mercado não conferido. ","")&amp;IF(O119="Sim","🔴 Possível DUPLA COBERTURA: a mesma despesa não pode ser paga duas vezes. ","")&amp;IF(AND(L119="Sim",K119&lt;&gt;"Remuneração do proponente"),"🟡 Pessoa vinculada: este valor SOMA no limite de remuneração do proponente. ","")&amp;IF(P119="","",IF(P119&gt;L_FORNECEDOR,"🔴 Fornecedor acima do limite sobre o valor captado (confira exceções). ",IF(P119&gt;=L_FORNECEDOR*MARGEM,"🟡 Fornecedor perto do limite. ","")))&amp;IF(AND(LEFT(K119,5)="Cachê",F119&lt;&gt;""),IF(F119&gt;IFERROR(VLOOKUP(K119,TAB_CATEGORIAS,2,FALSE),9E+99),"🔴 Cachê acima do limite: só com outras fontes ou apreciação da CNIC. ",""),"")&amp;IF(AND(LEFT(H119,6)="Outras",K119&lt;&gt;""),"🟡 Outras fontes: confirme que o recurso existe e está comprometido. ",""))="","🟢 CONFERIDO",IF(AND(B119="",G119=""),"",IF(OR(E119="",F119=""),"🟡 Falta quantidade ou valor. ","")&amp;IF(H119="","🟡 Informe a fonte. ","")&amp;IF(K119="","🟡 Classifique a categoria de limite. ","")&amp;IF(TRIM(M119)="","🔴 Sem justificativa de vínculo: se não explica, não coloque. ","")&amp;IF(N119&lt;&gt;"Sim","🟡 Preço de mercado não conferido. ","")&amp;IF(O119="Sim","🔴 Possível DUPLA COBERTURA: a mesma despesa não pode ser paga duas vezes. ","")&amp;IF(AND(L119="Sim",K119&lt;&gt;"Remuneração do proponente"),"🟡 Pessoa vinculada: este valor SOMA no limite de remuneração do proponente. ","")&amp;IF(P119="","",IF(P119&gt;L_FORNECEDOR,"🔴 Fornecedor acima do limite sobre o valor captado (confira exceções). ",IF(P119&gt;=L_FORNECEDOR*MARGEM,"🟡 Fornecedor perto do limite. ","")))&amp;IF(AND(LEFT(K119,5)="Cachê",F119&lt;&gt;""),IF(F119&gt;IFERROR(VLOOKUP(K119,TAB_CATEGORIAS,2,FALSE),9E+99),"🔴 Cachê acima do limite: só com outras fontes ou apreciação da CNIC. ",""),"")&amp;IF(AND(LEFT(H119,6)="Outras",K119&lt;&gt;""),"🟡 Outras fontes: confirme que o recurso existe e está comprometido. ",""))))</f>
        <v/>
      </c>
    </row>
    <row r="120">
      <c r="A120" s="20" t="n"/>
      <c r="B120" s="20" t="n"/>
      <c r="C120" s="20" t="n"/>
      <c r="D120" s="20" t="n"/>
      <c r="E120" s="20" t="n"/>
      <c r="F120" s="17" t="n"/>
      <c r="G120" s="26">
        <f>IF(OR(E120="",F120=""),"",E120*F120)</f>
        <v/>
      </c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27">
        <f>IF(OR(I120="",G120="",LEFT(H120,9)&lt;&gt;"Incentivo",VALOR_CAPTADO=0),"",SUMIFS($G$8:$G$207,$I$8:$I$207,I120,$H$8:$H$207,"Incentivo*")/VALOR_CAPTADO)</f>
        <v/>
      </c>
      <c r="Q120" s="21">
        <f>IF(AND(B120="",G120=""),"",IF(IF(AND(B120="",G120=""),"",IF(OR(E120="",F120=""),"🟡 Falta quantidade ou valor. ","")&amp;IF(H120="","🟡 Informe a fonte. ","")&amp;IF(K120="","🟡 Classifique a categoria de limite. ","")&amp;IF(TRIM(M120)="","🔴 Sem justificativa de vínculo: se não explica, não coloque. ","")&amp;IF(N120&lt;&gt;"Sim","🟡 Preço de mercado não conferido. ","")&amp;IF(O120="Sim","🔴 Possível DUPLA COBERTURA: a mesma despesa não pode ser paga duas vezes. ","")&amp;IF(AND(L120="Sim",K120&lt;&gt;"Remuneração do proponente"),"🟡 Pessoa vinculada: este valor SOMA no limite de remuneração do proponente. ","")&amp;IF(P120="","",IF(P120&gt;L_FORNECEDOR,"🔴 Fornecedor acima do limite sobre o valor captado (confira exceções). ",IF(P120&gt;=L_FORNECEDOR*MARGEM,"🟡 Fornecedor perto do limite. ","")))&amp;IF(AND(LEFT(K120,5)="Cachê",F120&lt;&gt;""),IF(F120&gt;IFERROR(VLOOKUP(K120,TAB_CATEGORIAS,2,FALSE),9E+99),"🔴 Cachê acima do limite: só com outras fontes ou apreciação da CNIC. ",""),"")&amp;IF(AND(LEFT(H120,6)="Outras",K120&lt;&gt;""),"🟡 Outras fontes: confirme que o recurso existe e está comprometido. ",""))="","🟢 CONFERIDO",IF(AND(B120="",G120=""),"",IF(OR(E120="",F120=""),"🟡 Falta quantidade ou valor. ","")&amp;IF(H120="","🟡 Informe a fonte. ","")&amp;IF(K120="","🟡 Classifique a categoria de limite. ","")&amp;IF(TRIM(M120)="","🔴 Sem justificativa de vínculo: se não explica, não coloque. ","")&amp;IF(N120&lt;&gt;"Sim","🟡 Preço de mercado não conferido. ","")&amp;IF(O120="Sim","🔴 Possível DUPLA COBERTURA: a mesma despesa não pode ser paga duas vezes. ","")&amp;IF(AND(L120="Sim",K120&lt;&gt;"Remuneração do proponente"),"🟡 Pessoa vinculada: este valor SOMA no limite de remuneração do proponente. ","")&amp;IF(P120="","",IF(P120&gt;L_FORNECEDOR,"🔴 Fornecedor acima do limite sobre o valor captado (confira exceções). ",IF(P120&gt;=L_FORNECEDOR*MARGEM,"🟡 Fornecedor perto do limite. ","")))&amp;IF(AND(LEFT(K120,5)="Cachê",F120&lt;&gt;""),IF(F120&gt;IFERROR(VLOOKUP(K120,TAB_CATEGORIAS,2,FALSE),9E+99),"🔴 Cachê acima do limite: só com outras fontes ou apreciação da CNIC. ",""),"")&amp;IF(AND(LEFT(H120,6)="Outras",K120&lt;&gt;""),"🟡 Outras fontes: confirme que o recurso existe e está comprometido. ",""))))</f>
        <v/>
      </c>
    </row>
    <row r="121">
      <c r="A121" s="20" t="n"/>
      <c r="B121" s="20" t="n"/>
      <c r="C121" s="20" t="n"/>
      <c r="D121" s="20" t="n"/>
      <c r="E121" s="20" t="n"/>
      <c r="F121" s="17" t="n"/>
      <c r="G121" s="26">
        <f>IF(OR(E121="",F121=""),"",E121*F121)</f>
        <v/>
      </c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7">
        <f>IF(OR(I121="",G121="",LEFT(H121,9)&lt;&gt;"Incentivo",VALOR_CAPTADO=0),"",SUMIFS($G$8:$G$207,$I$8:$I$207,I121,$H$8:$H$207,"Incentivo*")/VALOR_CAPTADO)</f>
        <v/>
      </c>
      <c r="Q121" s="21">
        <f>IF(AND(B121="",G121=""),"",IF(IF(AND(B121="",G121=""),"",IF(OR(E121="",F121=""),"🟡 Falta quantidade ou valor. ","")&amp;IF(H121="","🟡 Informe a fonte. ","")&amp;IF(K121="","🟡 Classifique a categoria de limite. ","")&amp;IF(TRIM(M121)="","🔴 Sem justificativa de vínculo: se não explica, não coloque. ","")&amp;IF(N121&lt;&gt;"Sim","🟡 Preço de mercado não conferido. ","")&amp;IF(O121="Sim","🔴 Possível DUPLA COBERTURA: a mesma despesa não pode ser paga duas vezes. ","")&amp;IF(AND(L121="Sim",K121&lt;&gt;"Remuneração do proponente"),"🟡 Pessoa vinculada: este valor SOMA no limite de remuneração do proponente. ","")&amp;IF(P121="","",IF(P121&gt;L_FORNECEDOR,"🔴 Fornecedor acima do limite sobre o valor captado (confira exceções). ",IF(P121&gt;=L_FORNECEDOR*MARGEM,"🟡 Fornecedor perto do limite. ","")))&amp;IF(AND(LEFT(K121,5)="Cachê",F121&lt;&gt;""),IF(F121&gt;IFERROR(VLOOKUP(K121,TAB_CATEGORIAS,2,FALSE),9E+99),"🔴 Cachê acima do limite: só com outras fontes ou apreciação da CNIC. ",""),"")&amp;IF(AND(LEFT(H121,6)="Outras",K121&lt;&gt;""),"🟡 Outras fontes: confirme que o recurso existe e está comprometido. ",""))="","🟢 CONFERIDO",IF(AND(B121="",G121=""),"",IF(OR(E121="",F121=""),"🟡 Falta quantidade ou valor. ","")&amp;IF(H121="","🟡 Informe a fonte. ","")&amp;IF(K121="","🟡 Classifique a categoria de limite. ","")&amp;IF(TRIM(M121)="","🔴 Sem justificativa de vínculo: se não explica, não coloque. ","")&amp;IF(N121&lt;&gt;"Sim","🟡 Preço de mercado não conferido. ","")&amp;IF(O121="Sim","🔴 Possível DUPLA COBERTURA: a mesma despesa não pode ser paga duas vezes. ","")&amp;IF(AND(L121="Sim",K121&lt;&gt;"Remuneração do proponente"),"🟡 Pessoa vinculada: este valor SOMA no limite de remuneração do proponente. ","")&amp;IF(P121="","",IF(P121&gt;L_FORNECEDOR,"🔴 Fornecedor acima do limite sobre o valor captado (confira exceções). ",IF(P121&gt;=L_FORNECEDOR*MARGEM,"🟡 Fornecedor perto do limite. ","")))&amp;IF(AND(LEFT(K121,5)="Cachê",F121&lt;&gt;""),IF(F121&gt;IFERROR(VLOOKUP(K121,TAB_CATEGORIAS,2,FALSE),9E+99),"🔴 Cachê acima do limite: só com outras fontes ou apreciação da CNIC. ",""),"")&amp;IF(AND(LEFT(H121,6)="Outras",K121&lt;&gt;""),"🟡 Outras fontes: confirme que o recurso existe e está comprometido. ",""))))</f>
        <v/>
      </c>
    </row>
    <row r="122">
      <c r="A122" s="20" t="n"/>
      <c r="B122" s="20" t="n"/>
      <c r="C122" s="20" t="n"/>
      <c r="D122" s="20" t="n"/>
      <c r="E122" s="20" t="n"/>
      <c r="F122" s="17" t="n"/>
      <c r="G122" s="26">
        <f>IF(OR(E122="",F122=""),"",E122*F122)</f>
        <v/>
      </c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7">
        <f>IF(OR(I122="",G122="",LEFT(H122,9)&lt;&gt;"Incentivo",VALOR_CAPTADO=0),"",SUMIFS($G$8:$G$207,$I$8:$I$207,I122,$H$8:$H$207,"Incentivo*")/VALOR_CAPTADO)</f>
        <v/>
      </c>
      <c r="Q122" s="21">
        <f>IF(AND(B122="",G122=""),"",IF(IF(AND(B122="",G122=""),"",IF(OR(E122="",F122=""),"🟡 Falta quantidade ou valor. ","")&amp;IF(H122="","🟡 Informe a fonte. ","")&amp;IF(K122="","🟡 Classifique a categoria de limite. ","")&amp;IF(TRIM(M122)="","🔴 Sem justificativa de vínculo: se não explica, não coloque. ","")&amp;IF(N122&lt;&gt;"Sim","🟡 Preço de mercado não conferido. ","")&amp;IF(O122="Sim","🔴 Possível DUPLA COBERTURA: a mesma despesa não pode ser paga duas vezes. ","")&amp;IF(AND(L122="Sim",K122&lt;&gt;"Remuneração do proponente"),"🟡 Pessoa vinculada: este valor SOMA no limite de remuneração do proponente. ","")&amp;IF(P122="","",IF(P122&gt;L_FORNECEDOR,"🔴 Fornecedor acima do limite sobre o valor captado (confira exceções). ",IF(P122&gt;=L_FORNECEDOR*MARGEM,"🟡 Fornecedor perto do limite. ","")))&amp;IF(AND(LEFT(K122,5)="Cachê",F122&lt;&gt;""),IF(F122&gt;IFERROR(VLOOKUP(K122,TAB_CATEGORIAS,2,FALSE),9E+99),"🔴 Cachê acima do limite: só com outras fontes ou apreciação da CNIC. ",""),"")&amp;IF(AND(LEFT(H122,6)="Outras",K122&lt;&gt;""),"🟡 Outras fontes: confirme que o recurso existe e está comprometido. ",""))="","🟢 CONFERIDO",IF(AND(B122="",G122=""),"",IF(OR(E122="",F122=""),"🟡 Falta quantidade ou valor. ","")&amp;IF(H122="","🟡 Informe a fonte. ","")&amp;IF(K122="","🟡 Classifique a categoria de limite. ","")&amp;IF(TRIM(M122)="","🔴 Sem justificativa de vínculo: se não explica, não coloque. ","")&amp;IF(N122&lt;&gt;"Sim","🟡 Preço de mercado não conferido. ","")&amp;IF(O122="Sim","🔴 Possível DUPLA COBERTURA: a mesma despesa não pode ser paga duas vezes. ","")&amp;IF(AND(L122="Sim",K122&lt;&gt;"Remuneração do proponente"),"🟡 Pessoa vinculada: este valor SOMA no limite de remuneração do proponente. ","")&amp;IF(P122="","",IF(P122&gt;L_FORNECEDOR,"🔴 Fornecedor acima do limite sobre o valor captado (confira exceções). ",IF(P122&gt;=L_FORNECEDOR*MARGEM,"🟡 Fornecedor perto do limite. ","")))&amp;IF(AND(LEFT(K122,5)="Cachê",F122&lt;&gt;""),IF(F122&gt;IFERROR(VLOOKUP(K122,TAB_CATEGORIAS,2,FALSE),9E+99),"🔴 Cachê acima do limite: só com outras fontes ou apreciação da CNIC. ",""),"")&amp;IF(AND(LEFT(H122,6)="Outras",K122&lt;&gt;""),"🟡 Outras fontes: confirme que o recurso existe e está comprometido. ",""))))</f>
        <v/>
      </c>
    </row>
    <row r="123">
      <c r="A123" s="20" t="n"/>
      <c r="B123" s="20" t="n"/>
      <c r="C123" s="20" t="n"/>
      <c r="D123" s="20" t="n"/>
      <c r="E123" s="20" t="n"/>
      <c r="F123" s="17" t="n"/>
      <c r="G123" s="26">
        <f>IF(OR(E123="",F123=""),"",E123*F123)</f>
        <v/>
      </c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7">
        <f>IF(OR(I123="",G123="",LEFT(H123,9)&lt;&gt;"Incentivo",VALOR_CAPTADO=0),"",SUMIFS($G$8:$G$207,$I$8:$I$207,I123,$H$8:$H$207,"Incentivo*")/VALOR_CAPTADO)</f>
        <v/>
      </c>
      <c r="Q123" s="21">
        <f>IF(AND(B123="",G123=""),"",IF(IF(AND(B123="",G123=""),"",IF(OR(E123="",F123=""),"🟡 Falta quantidade ou valor. ","")&amp;IF(H123="","🟡 Informe a fonte. ","")&amp;IF(K123="","🟡 Classifique a categoria de limite. ","")&amp;IF(TRIM(M123)="","🔴 Sem justificativa de vínculo: se não explica, não coloque. ","")&amp;IF(N123&lt;&gt;"Sim","🟡 Preço de mercado não conferido. ","")&amp;IF(O123="Sim","🔴 Possível DUPLA COBERTURA: a mesma despesa não pode ser paga duas vezes. ","")&amp;IF(AND(L123="Sim",K123&lt;&gt;"Remuneração do proponente"),"🟡 Pessoa vinculada: este valor SOMA no limite de remuneração do proponente. ","")&amp;IF(P123="","",IF(P123&gt;L_FORNECEDOR,"🔴 Fornecedor acima do limite sobre o valor captado (confira exceções). ",IF(P123&gt;=L_FORNECEDOR*MARGEM,"🟡 Fornecedor perto do limite. ","")))&amp;IF(AND(LEFT(K123,5)="Cachê",F123&lt;&gt;""),IF(F123&gt;IFERROR(VLOOKUP(K123,TAB_CATEGORIAS,2,FALSE),9E+99),"🔴 Cachê acima do limite: só com outras fontes ou apreciação da CNIC. ",""),"")&amp;IF(AND(LEFT(H123,6)="Outras",K123&lt;&gt;""),"🟡 Outras fontes: confirme que o recurso existe e está comprometido. ",""))="","🟢 CONFERIDO",IF(AND(B123="",G123=""),"",IF(OR(E123="",F123=""),"🟡 Falta quantidade ou valor. ","")&amp;IF(H123="","🟡 Informe a fonte. ","")&amp;IF(K123="","🟡 Classifique a categoria de limite. ","")&amp;IF(TRIM(M123)="","🔴 Sem justificativa de vínculo: se não explica, não coloque. ","")&amp;IF(N123&lt;&gt;"Sim","🟡 Preço de mercado não conferido. ","")&amp;IF(O123="Sim","🔴 Possível DUPLA COBERTURA: a mesma despesa não pode ser paga duas vezes. ","")&amp;IF(AND(L123="Sim",K123&lt;&gt;"Remuneração do proponente"),"🟡 Pessoa vinculada: este valor SOMA no limite de remuneração do proponente. ","")&amp;IF(P123="","",IF(P123&gt;L_FORNECEDOR,"🔴 Fornecedor acima do limite sobre o valor captado (confira exceções). ",IF(P123&gt;=L_FORNECEDOR*MARGEM,"🟡 Fornecedor perto do limite. ","")))&amp;IF(AND(LEFT(K123,5)="Cachê",F123&lt;&gt;""),IF(F123&gt;IFERROR(VLOOKUP(K123,TAB_CATEGORIAS,2,FALSE),9E+99),"🔴 Cachê acima do limite: só com outras fontes ou apreciação da CNIC. ",""),"")&amp;IF(AND(LEFT(H123,6)="Outras",K123&lt;&gt;""),"🟡 Outras fontes: confirme que o recurso existe e está comprometido. ",""))))</f>
        <v/>
      </c>
    </row>
    <row r="124">
      <c r="A124" s="20" t="n"/>
      <c r="B124" s="20" t="n"/>
      <c r="C124" s="20" t="n"/>
      <c r="D124" s="20" t="n"/>
      <c r="E124" s="20" t="n"/>
      <c r="F124" s="17" t="n"/>
      <c r="G124" s="26">
        <f>IF(OR(E124="",F124=""),"",E124*F124)</f>
        <v/>
      </c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7">
        <f>IF(OR(I124="",G124="",LEFT(H124,9)&lt;&gt;"Incentivo",VALOR_CAPTADO=0),"",SUMIFS($G$8:$G$207,$I$8:$I$207,I124,$H$8:$H$207,"Incentivo*")/VALOR_CAPTADO)</f>
        <v/>
      </c>
      <c r="Q124" s="21">
        <f>IF(AND(B124="",G124=""),"",IF(IF(AND(B124="",G124=""),"",IF(OR(E124="",F124=""),"🟡 Falta quantidade ou valor. ","")&amp;IF(H124="","🟡 Informe a fonte. ","")&amp;IF(K124="","🟡 Classifique a categoria de limite. ","")&amp;IF(TRIM(M124)="","🔴 Sem justificativa de vínculo: se não explica, não coloque. ","")&amp;IF(N124&lt;&gt;"Sim","🟡 Preço de mercado não conferido. ","")&amp;IF(O124="Sim","🔴 Possível DUPLA COBERTURA: a mesma despesa não pode ser paga duas vezes. ","")&amp;IF(AND(L124="Sim",K124&lt;&gt;"Remuneração do proponente"),"🟡 Pessoa vinculada: este valor SOMA no limite de remuneração do proponente. ","")&amp;IF(P124="","",IF(P124&gt;L_FORNECEDOR,"🔴 Fornecedor acima do limite sobre o valor captado (confira exceções). ",IF(P124&gt;=L_FORNECEDOR*MARGEM,"🟡 Fornecedor perto do limite. ","")))&amp;IF(AND(LEFT(K124,5)="Cachê",F124&lt;&gt;""),IF(F124&gt;IFERROR(VLOOKUP(K124,TAB_CATEGORIAS,2,FALSE),9E+99),"🔴 Cachê acima do limite: só com outras fontes ou apreciação da CNIC. ",""),"")&amp;IF(AND(LEFT(H124,6)="Outras",K124&lt;&gt;""),"🟡 Outras fontes: confirme que o recurso existe e está comprometido. ",""))="","🟢 CONFERIDO",IF(AND(B124="",G124=""),"",IF(OR(E124="",F124=""),"🟡 Falta quantidade ou valor. ","")&amp;IF(H124="","🟡 Informe a fonte. ","")&amp;IF(K124="","🟡 Classifique a categoria de limite. ","")&amp;IF(TRIM(M124)="","🔴 Sem justificativa de vínculo: se não explica, não coloque. ","")&amp;IF(N124&lt;&gt;"Sim","🟡 Preço de mercado não conferido. ","")&amp;IF(O124="Sim","🔴 Possível DUPLA COBERTURA: a mesma despesa não pode ser paga duas vezes. ","")&amp;IF(AND(L124="Sim",K124&lt;&gt;"Remuneração do proponente"),"🟡 Pessoa vinculada: este valor SOMA no limite de remuneração do proponente. ","")&amp;IF(P124="","",IF(P124&gt;L_FORNECEDOR,"🔴 Fornecedor acima do limite sobre o valor captado (confira exceções). ",IF(P124&gt;=L_FORNECEDOR*MARGEM,"🟡 Fornecedor perto do limite. ","")))&amp;IF(AND(LEFT(K124,5)="Cachê",F124&lt;&gt;""),IF(F124&gt;IFERROR(VLOOKUP(K124,TAB_CATEGORIAS,2,FALSE),9E+99),"🔴 Cachê acima do limite: só com outras fontes ou apreciação da CNIC. ",""),"")&amp;IF(AND(LEFT(H124,6)="Outras",K124&lt;&gt;""),"🟡 Outras fontes: confirme que o recurso existe e está comprometido. ",""))))</f>
        <v/>
      </c>
    </row>
    <row r="125">
      <c r="A125" s="20" t="n"/>
      <c r="B125" s="20" t="n"/>
      <c r="C125" s="20" t="n"/>
      <c r="D125" s="20" t="n"/>
      <c r="E125" s="20" t="n"/>
      <c r="F125" s="17" t="n"/>
      <c r="G125" s="26">
        <f>IF(OR(E125="",F125=""),"",E125*F125)</f>
        <v/>
      </c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7">
        <f>IF(OR(I125="",G125="",LEFT(H125,9)&lt;&gt;"Incentivo",VALOR_CAPTADO=0),"",SUMIFS($G$8:$G$207,$I$8:$I$207,I125,$H$8:$H$207,"Incentivo*")/VALOR_CAPTADO)</f>
        <v/>
      </c>
      <c r="Q125" s="21">
        <f>IF(AND(B125="",G125=""),"",IF(IF(AND(B125="",G125=""),"",IF(OR(E125="",F125=""),"🟡 Falta quantidade ou valor. ","")&amp;IF(H125="","🟡 Informe a fonte. ","")&amp;IF(K125="","🟡 Classifique a categoria de limite. ","")&amp;IF(TRIM(M125)="","🔴 Sem justificativa de vínculo: se não explica, não coloque. ","")&amp;IF(N125&lt;&gt;"Sim","🟡 Preço de mercado não conferido. ","")&amp;IF(O125="Sim","🔴 Possível DUPLA COBERTURA: a mesma despesa não pode ser paga duas vezes. ","")&amp;IF(AND(L125="Sim",K125&lt;&gt;"Remuneração do proponente"),"🟡 Pessoa vinculada: este valor SOMA no limite de remuneração do proponente. ","")&amp;IF(P125="","",IF(P125&gt;L_FORNECEDOR,"🔴 Fornecedor acima do limite sobre o valor captado (confira exceções). ",IF(P125&gt;=L_FORNECEDOR*MARGEM,"🟡 Fornecedor perto do limite. ","")))&amp;IF(AND(LEFT(K125,5)="Cachê",F125&lt;&gt;""),IF(F125&gt;IFERROR(VLOOKUP(K125,TAB_CATEGORIAS,2,FALSE),9E+99),"🔴 Cachê acima do limite: só com outras fontes ou apreciação da CNIC. ",""),"")&amp;IF(AND(LEFT(H125,6)="Outras",K125&lt;&gt;""),"🟡 Outras fontes: confirme que o recurso existe e está comprometido. ",""))="","🟢 CONFERIDO",IF(AND(B125="",G125=""),"",IF(OR(E125="",F125=""),"🟡 Falta quantidade ou valor. ","")&amp;IF(H125="","🟡 Informe a fonte. ","")&amp;IF(K125="","🟡 Classifique a categoria de limite. ","")&amp;IF(TRIM(M125)="","🔴 Sem justificativa de vínculo: se não explica, não coloque. ","")&amp;IF(N125&lt;&gt;"Sim","🟡 Preço de mercado não conferido. ","")&amp;IF(O125="Sim","🔴 Possível DUPLA COBERTURA: a mesma despesa não pode ser paga duas vezes. ","")&amp;IF(AND(L125="Sim",K125&lt;&gt;"Remuneração do proponente"),"🟡 Pessoa vinculada: este valor SOMA no limite de remuneração do proponente. ","")&amp;IF(P125="","",IF(P125&gt;L_FORNECEDOR,"🔴 Fornecedor acima do limite sobre o valor captado (confira exceções). ",IF(P125&gt;=L_FORNECEDOR*MARGEM,"🟡 Fornecedor perto do limite. ","")))&amp;IF(AND(LEFT(K125,5)="Cachê",F125&lt;&gt;""),IF(F125&gt;IFERROR(VLOOKUP(K125,TAB_CATEGORIAS,2,FALSE),9E+99),"🔴 Cachê acima do limite: só com outras fontes ou apreciação da CNIC. ",""),"")&amp;IF(AND(LEFT(H125,6)="Outras",K125&lt;&gt;""),"🟡 Outras fontes: confirme que o recurso existe e está comprometido. ",""))))</f>
        <v/>
      </c>
    </row>
    <row r="126">
      <c r="A126" s="20" t="n"/>
      <c r="B126" s="20" t="n"/>
      <c r="C126" s="20" t="n"/>
      <c r="D126" s="20" t="n"/>
      <c r="E126" s="20" t="n"/>
      <c r="F126" s="17" t="n"/>
      <c r="G126" s="26">
        <f>IF(OR(E126="",F126=""),"",E126*F126)</f>
        <v/>
      </c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7">
        <f>IF(OR(I126="",G126="",LEFT(H126,9)&lt;&gt;"Incentivo",VALOR_CAPTADO=0),"",SUMIFS($G$8:$G$207,$I$8:$I$207,I126,$H$8:$H$207,"Incentivo*")/VALOR_CAPTADO)</f>
        <v/>
      </c>
      <c r="Q126" s="21">
        <f>IF(AND(B126="",G126=""),"",IF(IF(AND(B126="",G126=""),"",IF(OR(E126="",F126=""),"🟡 Falta quantidade ou valor. ","")&amp;IF(H126="","🟡 Informe a fonte. ","")&amp;IF(K126="","🟡 Classifique a categoria de limite. ","")&amp;IF(TRIM(M126)="","🔴 Sem justificativa de vínculo: se não explica, não coloque. ","")&amp;IF(N126&lt;&gt;"Sim","🟡 Preço de mercado não conferido. ","")&amp;IF(O126="Sim","🔴 Possível DUPLA COBERTURA: a mesma despesa não pode ser paga duas vezes. ","")&amp;IF(AND(L126="Sim",K126&lt;&gt;"Remuneração do proponente"),"🟡 Pessoa vinculada: este valor SOMA no limite de remuneração do proponente. ","")&amp;IF(P126="","",IF(P126&gt;L_FORNECEDOR,"🔴 Fornecedor acima do limite sobre o valor captado (confira exceções). ",IF(P126&gt;=L_FORNECEDOR*MARGEM,"🟡 Fornecedor perto do limite. ","")))&amp;IF(AND(LEFT(K126,5)="Cachê",F126&lt;&gt;""),IF(F126&gt;IFERROR(VLOOKUP(K126,TAB_CATEGORIAS,2,FALSE),9E+99),"🔴 Cachê acima do limite: só com outras fontes ou apreciação da CNIC. ",""),"")&amp;IF(AND(LEFT(H126,6)="Outras",K126&lt;&gt;""),"🟡 Outras fontes: confirme que o recurso existe e está comprometido. ",""))="","🟢 CONFERIDO",IF(AND(B126="",G126=""),"",IF(OR(E126="",F126=""),"🟡 Falta quantidade ou valor. ","")&amp;IF(H126="","🟡 Informe a fonte. ","")&amp;IF(K126="","🟡 Classifique a categoria de limite. ","")&amp;IF(TRIM(M126)="","🔴 Sem justificativa de vínculo: se não explica, não coloque. ","")&amp;IF(N126&lt;&gt;"Sim","🟡 Preço de mercado não conferido. ","")&amp;IF(O126="Sim","🔴 Possível DUPLA COBERTURA: a mesma despesa não pode ser paga duas vezes. ","")&amp;IF(AND(L126="Sim",K126&lt;&gt;"Remuneração do proponente"),"🟡 Pessoa vinculada: este valor SOMA no limite de remuneração do proponente. ","")&amp;IF(P126="","",IF(P126&gt;L_FORNECEDOR,"🔴 Fornecedor acima do limite sobre o valor captado (confira exceções). ",IF(P126&gt;=L_FORNECEDOR*MARGEM,"🟡 Fornecedor perto do limite. ","")))&amp;IF(AND(LEFT(K126,5)="Cachê",F126&lt;&gt;""),IF(F126&gt;IFERROR(VLOOKUP(K126,TAB_CATEGORIAS,2,FALSE),9E+99),"🔴 Cachê acima do limite: só com outras fontes ou apreciação da CNIC. ",""),"")&amp;IF(AND(LEFT(H126,6)="Outras",K126&lt;&gt;""),"🟡 Outras fontes: confirme que o recurso existe e está comprometido. ",""))))</f>
        <v/>
      </c>
    </row>
    <row r="127">
      <c r="A127" s="20" t="n"/>
      <c r="B127" s="20" t="n"/>
      <c r="C127" s="20" t="n"/>
      <c r="D127" s="20" t="n"/>
      <c r="E127" s="20" t="n"/>
      <c r="F127" s="17" t="n"/>
      <c r="G127" s="26">
        <f>IF(OR(E127="",F127=""),"",E127*F127)</f>
        <v/>
      </c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7">
        <f>IF(OR(I127="",G127="",LEFT(H127,9)&lt;&gt;"Incentivo",VALOR_CAPTADO=0),"",SUMIFS($G$8:$G$207,$I$8:$I$207,I127,$H$8:$H$207,"Incentivo*")/VALOR_CAPTADO)</f>
        <v/>
      </c>
      <c r="Q127" s="21">
        <f>IF(AND(B127="",G127=""),"",IF(IF(AND(B127="",G127=""),"",IF(OR(E127="",F127=""),"🟡 Falta quantidade ou valor. ","")&amp;IF(H127="","🟡 Informe a fonte. ","")&amp;IF(K127="","🟡 Classifique a categoria de limite. ","")&amp;IF(TRIM(M127)="","🔴 Sem justificativa de vínculo: se não explica, não coloque. ","")&amp;IF(N127&lt;&gt;"Sim","🟡 Preço de mercado não conferido. ","")&amp;IF(O127="Sim","🔴 Possível DUPLA COBERTURA: a mesma despesa não pode ser paga duas vezes. ","")&amp;IF(AND(L127="Sim",K127&lt;&gt;"Remuneração do proponente"),"🟡 Pessoa vinculada: este valor SOMA no limite de remuneração do proponente. ","")&amp;IF(P127="","",IF(P127&gt;L_FORNECEDOR,"🔴 Fornecedor acima do limite sobre o valor captado (confira exceções). ",IF(P127&gt;=L_FORNECEDOR*MARGEM,"🟡 Fornecedor perto do limite. ","")))&amp;IF(AND(LEFT(K127,5)="Cachê",F127&lt;&gt;""),IF(F127&gt;IFERROR(VLOOKUP(K127,TAB_CATEGORIAS,2,FALSE),9E+99),"🔴 Cachê acima do limite: só com outras fontes ou apreciação da CNIC. ",""),"")&amp;IF(AND(LEFT(H127,6)="Outras",K127&lt;&gt;""),"🟡 Outras fontes: confirme que o recurso existe e está comprometido. ",""))="","🟢 CONFERIDO",IF(AND(B127="",G127=""),"",IF(OR(E127="",F127=""),"🟡 Falta quantidade ou valor. ","")&amp;IF(H127="","🟡 Informe a fonte. ","")&amp;IF(K127="","🟡 Classifique a categoria de limite. ","")&amp;IF(TRIM(M127)="","🔴 Sem justificativa de vínculo: se não explica, não coloque. ","")&amp;IF(N127&lt;&gt;"Sim","🟡 Preço de mercado não conferido. ","")&amp;IF(O127="Sim","🔴 Possível DUPLA COBERTURA: a mesma despesa não pode ser paga duas vezes. ","")&amp;IF(AND(L127="Sim",K127&lt;&gt;"Remuneração do proponente"),"🟡 Pessoa vinculada: este valor SOMA no limite de remuneração do proponente. ","")&amp;IF(P127="","",IF(P127&gt;L_FORNECEDOR,"🔴 Fornecedor acima do limite sobre o valor captado (confira exceções). ",IF(P127&gt;=L_FORNECEDOR*MARGEM,"🟡 Fornecedor perto do limite. ","")))&amp;IF(AND(LEFT(K127,5)="Cachê",F127&lt;&gt;""),IF(F127&gt;IFERROR(VLOOKUP(K127,TAB_CATEGORIAS,2,FALSE),9E+99),"🔴 Cachê acima do limite: só com outras fontes ou apreciação da CNIC. ",""),"")&amp;IF(AND(LEFT(H127,6)="Outras",K127&lt;&gt;""),"🟡 Outras fontes: confirme que o recurso existe e está comprometido. ",""))))</f>
        <v/>
      </c>
    </row>
    <row r="128">
      <c r="A128" s="20" t="n"/>
      <c r="B128" s="20" t="n"/>
      <c r="C128" s="20" t="n"/>
      <c r="D128" s="20" t="n"/>
      <c r="E128" s="20" t="n"/>
      <c r="F128" s="17" t="n"/>
      <c r="G128" s="26">
        <f>IF(OR(E128="",F128=""),"",E128*F128)</f>
        <v/>
      </c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7">
        <f>IF(OR(I128="",G128="",LEFT(H128,9)&lt;&gt;"Incentivo",VALOR_CAPTADO=0),"",SUMIFS($G$8:$G$207,$I$8:$I$207,I128,$H$8:$H$207,"Incentivo*")/VALOR_CAPTADO)</f>
        <v/>
      </c>
      <c r="Q128" s="21">
        <f>IF(AND(B128="",G128=""),"",IF(IF(AND(B128="",G128=""),"",IF(OR(E128="",F128=""),"🟡 Falta quantidade ou valor. ","")&amp;IF(H128="","🟡 Informe a fonte. ","")&amp;IF(K128="","🟡 Classifique a categoria de limite. ","")&amp;IF(TRIM(M128)="","🔴 Sem justificativa de vínculo: se não explica, não coloque. ","")&amp;IF(N128&lt;&gt;"Sim","🟡 Preço de mercado não conferido. ","")&amp;IF(O128="Sim","🔴 Possível DUPLA COBERTURA: a mesma despesa não pode ser paga duas vezes. ","")&amp;IF(AND(L128="Sim",K128&lt;&gt;"Remuneração do proponente"),"🟡 Pessoa vinculada: este valor SOMA no limite de remuneração do proponente. ","")&amp;IF(P128="","",IF(P128&gt;L_FORNECEDOR,"🔴 Fornecedor acima do limite sobre o valor captado (confira exceções). ",IF(P128&gt;=L_FORNECEDOR*MARGEM,"🟡 Fornecedor perto do limite. ","")))&amp;IF(AND(LEFT(K128,5)="Cachê",F128&lt;&gt;""),IF(F128&gt;IFERROR(VLOOKUP(K128,TAB_CATEGORIAS,2,FALSE),9E+99),"🔴 Cachê acima do limite: só com outras fontes ou apreciação da CNIC. ",""),"")&amp;IF(AND(LEFT(H128,6)="Outras",K128&lt;&gt;""),"🟡 Outras fontes: confirme que o recurso existe e está comprometido. ",""))="","🟢 CONFERIDO",IF(AND(B128="",G128=""),"",IF(OR(E128="",F128=""),"🟡 Falta quantidade ou valor. ","")&amp;IF(H128="","🟡 Informe a fonte. ","")&amp;IF(K128="","🟡 Classifique a categoria de limite. ","")&amp;IF(TRIM(M128)="","🔴 Sem justificativa de vínculo: se não explica, não coloque. ","")&amp;IF(N128&lt;&gt;"Sim","🟡 Preço de mercado não conferido. ","")&amp;IF(O128="Sim","🔴 Possível DUPLA COBERTURA: a mesma despesa não pode ser paga duas vezes. ","")&amp;IF(AND(L128="Sim",K128&lt;&gt;"Remuneração do proponente"),"🟡 Pessoa vinculada: este valor SOMA no limite de remuneração do proponente. ","")&amp;IF(P128="","",IF(P128&gt;L_FORNECEDOR,"🔴 Fornecedor acima do limite sobre o valor captado (confira exceções). ",IF(P128&gt;=L_FORNECEDOR*MARGEM,"🟡 Fornecedor perto do limite. ","")))&amp;IF(AND(LEFT(K128,5)="Cachê",F128&lt;&gt;""),IF(F128&gt;IFERROR(VLOOKUP(K128,TAB_CATEGORIAS,2,FALSE),9E+99),"🔴 Cachê acima do limite: só com outras fontes ou apreciação da CNIC. ",""),"")&amp;IF(AND(LEFT(H128,6)="Outras",K128&lt;&gt;""),"🟡 Outras fontes: confirme que o recurso existe e está comprometido. ",""))))</f>
        <v/>
      </c>
    </row>
    <row r="129">
      <c r="A129" s="20" t="n"/>
      <c r="B129" s="20" t="n"/>
      <c r="C129" s="20" t="n"/>
      <c r="D129" s="20" t="n"/>
      <c r="E129" s="20" t="n"/>
      <c r="F129" s="17" t="n"/>
      <c r="G129" s="26">
        <f>IF(OR(E129="",F129=""),"",E129*F129)</f>
        <v/>
      </c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7">
        <f>IF(OR(I129="",G129="",LEFT(H129,9)&lt;&gt;"Incentivo",VALOR_CAPTADO=0),"",SUMIFS($G$8:$G$207,$I$8:$I$207,I129,$H$8:$H$207,"Incentivo*")/VALOR_CAPTADO)</f>
        <v/>
      </c>
      <c r="Q129" s="21">
        <f>IF(AND(B129="",G129=""),"",IF(IF(AND(B129="",G129=""),"",IF(OR(E129="",F129=""),"🟡 Falta quantidade ou valor. ","")&amp;IF(H129="","🟡 Informe a fonte. ","")&amp;IF(K129="","🟡 Classifique a categoria de limite. ","")&amp;IF(TRIM(M129)="","🔴 Sem justificativa de vínculo: se não explica, não coloque. ","")&amp;IF(N129&lt;&gt;"Sim","🟡 Preço de mercado não conferido. ","")&amp;IF(O129="Sim","🔴 Possível DUPLA COBERTURA: a mesma despesa não pode ser paga duas vezes. ","")&amp;IF(AND(L129="Sim",K129&lt;&gt;"Remuneração do proponente"),"🟡 Pessoa vinculada: este valor SOMA no limite de remuneração do proponente. ","")&amp;IF(P129="","",IF(P129&gt;L_FORNECEDOR,"🔴 Fornecedor acima do limite sobre o valor captado (confira exceções). ",IF(P129&gt;=L_FORNECEDOR*MARGEM,"🟡 Fornecedor perto do limite. ","")))&amp;IF(AND(LEFT(K129,5)="Cachê",F129&lt;&gt;""),IF(F129&gt;IFERROR(VLOOKUP(K129,TAB_CATEGORIAS,2,FALSE),9E+99),"🔴 Cachê acima do limite: só com outras fontes ou apreciação da CNIC. ",""),"")&amp;IF(AND(LEFT(H129,6)="Outras",K129&lt;&gt;""),"🟡 Outras fontes: confirme que o recurso existe e está comprometido. ",""))="","🟢 CONFERIDO",IF(AND(B129="",G129=""),"",IF(OR(E129="",F129=""),"🟡 Falta quantidade ou valor. ","")&amp;IF(H129="","🟡 Informe a fonte. ","")&amp;IF(K129="","🟡 Classifique a categoria de limite. ","")&amp;IF(TRIM(M129)="","🔴 Sem justificativa de vínculo: se não explica, não coloque. ","")&amp;IF(N129&lt;&gt;"Sim","🟡 Preço de mercado não conferido. ","")&amp;IF(O129="Sim","🔴 Possível DUPLA COBERTURA: a mesma despesa não pode ser paga duas vezes. ","")&amp;IF(AND(L129="Sim",K129&lt;&gt;"Remuneração do proponente"),"🟡 Pessoa vinculada: este valor SOMA no limite de remuneração do proponente. ","")&amp;IF(P129="","",IF(P129&gt;L_FORNECEDOR,"🔴 Fornecedor acima do limite sobre o valor captado (confira exceções). ",IF(P129&gt;=L_FORNECEDOR*MARGEM,"🟡 Fornecedor perto do limite. ","")))&amp;IF(AND(LEFT(K129,5)="Cachê",F129&lt;&gt;""),IF(F129&gt;IFERROR(VLOOKUP(K129,TAB_CATEGORIAS,2,FALSE),9E+99),"🔴 Cachê acima do limite: só com outras fontes ou apreciação da CNIC. ",""),"")&amp;IF(AND(LEFT(H129,6)="Outras",K129&lt;&gt;""),"🟡 Outras fontes: confirme que o recurso existe e está comprometido. ",""))))</f>
        <v/>
      </c>
    </row>
    <row r="130">
      <c r="A130" s="20" t="n"/>
      <c r="B130" s="20" t="n"/>
      <c r="C130" s="20" t="n"/>
      <c r="D130" s="20" t="n"/>
      <c r="E130" s="20" t="n"/>
      <c r="F130" s="17" t="n"/>
      <c r="G130" s="26">
        <f>IF(OR(E130="",F130=""),"",E130*F130)</f>
        <v/>
      </c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7">
        <f>IF(OR(I130="",G130="",LEFT(H130,9)&lt;&gt;"Incentivo",VALOR_CAPTADO=0),"",SUMIFS($G$8:$G$207,$I$8:$I$207,I130,$H$8:$H$207,"Incentivo*")/VALOR_CAPTADO)</f>
        <v/>
      </c>
      <c r="Q130" s="21">
        <f>IF(AND(B130="",G130=""),"",IF(IF(AND(B130="",G130=""),"",IF(OR(E130="",F130=""),"🟡 Falta quantidade ou valor. ","")&amp;IF(H130="","🟡 Informe a fonte. ","")&amp;IF(K130="","🟡 Classifique a categoria de limite. ","")&amp;IF(TRIM(M130)="","🔴 Sem justificativa de vínculo: se não explica, não coloque. ","")&amp;IF(N130&lt;&gt;"Sim","🟡 Preço de mercado não conferido. ","")&amp;IF(O130="Sim","🔴 Possível DUPLA COBERTURA: a mesma despesa não pode ser paga duas vezes. ","")&amp;IF(AND(L130="Sim",K130&lt;&gt;"Remuneração do proponente"),"🟡 Pessoa vinculada: este valor SOMA no limite de remuneração do proponente. ","")&amp;IF(P130="","",IF(P130&gt;L_FORNECEDOR,"🔴 Fornecedor acima do limite sobre o valor captado (confira exceções). ",IF(P130&gt;=L_FORNECEDOR*MARGEM,"🟡 Fornecedor perto do limite. ","")))&amp;IF(AND(LEFT(K130,5)="Cachê",F130&lt;&gt;""),IF(F130&gt;IFERROR(VLOOKUP(K130,TAB_CATEGORIAS,2,FALSE),9E+99),"🔴 Cachê acima do limite: só com outras fontes ou apreciação da CNIC. ",""),"")&amp;IF(AND(LEFT(H130,6)="Outras",K130&lt;&gt;""),"🟡 Outras fontes: confirme que o recurso existe e está comprometido. ",""))="","🟢 CONFERIDO",IF(AND(B130="",G130=""),"",IF(OR(E130="",F130=""),"🟡 Falta quantidade ou valor. ","")&amp;IF(H130="","🟡 Informe a fonte. ","")&amp;IF(K130="","🟡 Classifique a categoria de limite. ","")&amp;IF(TRIM(M130)="","🔴 Sem justificativa de vínculo: se não explica, não coloque. ","")&amp;IF(N130&lt;&gt;"Sim","🟡 Preço de mercado não conferido. ","")&amp;IF(O130="Sim","🔴 Possível DUPLA COBERTURA: a mesma despesa não pode ser paga duas vezes. ","")&amp;IF(AND(L130="Sim",K130&lt;&gt;"Remuneração do proponente"),"🟡 Pessoa vinculada: este valor SOMA no limite de remuneração do proponente. ","")&amp;IF(P130="","",IF(P130&gt;L_FORNECEDOR,"🔴 Fornecedor acima do limite sobre o valor captado (confira exceções). ",IF(P130&gt;=L_FORNECEDOR*MARGEM,"🟡 Fornecedor perto do limite. ","")))&amp;IF(AND(LEFT(K130,5)="Cachê",F130&lt;&gt;""),IF(F130&gt;IFERROR(VLOOKUP(K130,TAB_CATEGORIAS,2,FALSE),9E+99),"🔴 Cachê acima do limite: só com outras fontes ou apreciação da CNIC. ",""),"")&amp;IF(AND(LEFT(H130,6)="Outras",K130&lt;&gt;""),"🟡 Outras fontes: confirme que o recurso existe e está comprometido. ",""))))</f>
        <v/>
      </c>
    </row>
    <row r="131">
      <c r="A131" s="20" t="n"/>
      <c r="B131" s="20" t="n"/>
      <c r="C131" s="20" t="n"/>
      <c r="D131" s="20" t="n"/>
      <c r="E131" s="20" t="n"/>
      <c r="F131" s="17" t="n"/>
      <c r="G131" s="26">
        <f>IF(OR(E131="",F131=""),"",E131*F131)</f>
        <v/>
      </c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7">
        <f>IF(OR(I131="",G131="",LEFT(H131,9)&lt;&gt;"Incentivo",VALOR_CAPTADO=0),"",SUMIFS($G$8:$G$207,$I$8:$I$207,I131,$H$8:$H$207,"Incentivo*")/VALOR_CAPTADO)</f>
        <v/>
      </c>
      <c r="Q131" s="21">
        <f>IF(AND(B131="",G131=""),"",IF(IF(AND(B131="",G131=""),"",IF(OR(E131="",F131=""),"🟡 Falta quantidade ou valor. ","")&amp;IF(H131="","🟡 Informe a fonte. ","")&amp;IF(K131="","🟡 Classifique a categoria de limite. ","")&amp;IF(TRIM(M131)="","🔴 Sem justificativa de vínculo: se não explica, não coloque. ","")&amp;IF(N131&lt;&gt;"Sim","🟡 Preço de mercado não conferido. ","")&amp;IF(O131="Sim","🔴 Possível DUPLA COBERTURA: a mesma despesa não pode ser paga duas vezes. ","")&amp;IF(AND(L131="Sim",K131&lt;&gt;"Remuneração do proponente"),"🟡 Pessoa vinculada: este valor SOMA no limite de remuneração do proponente. ","")&amp;IF(P131="","",IF(P131&gt;L_FORNECEDOR,"🔴 Fornecedor acima do limite sobre o valor captado (confira exceções). ",IF(P131&gt;=L_FORNECEDOR*MARGEM,"🟡 Fornecedor perto do limite. ","")))&amp;IF(AND(LEFT(K131,5)="Cachê",F131&lt;&gt;""),IF(F131&gt;IFERROR(VLOOKUP(K131,TAB_CATEGORIAS,2,FALSE),9E+99),"🔴 Cachê acima do limite: só com outras fontes ou apreciação da CNIC. ",""),"")&amp;IF(AND(LEFT(H131,6)="Outras",K131&lt;&gt;""),"🟡 Outras fontes: confirme que o recurso existe e está comprometido. ",""))="","🟢 CONFERIDO",IF(AND(B131="",G131=""),"",IF(OR(E131="",F131=""),"🟡 Falta quantidade ou valor. ","")&amp;IF(H131="","🟡 Informe a fonte. ","")&amp;IF(K131="","🟡 Classifique a categoria de limite. ","")&amp;IF(TRIM(M131)="","🔴 Sem justificativa de vínculo: se não explica, não coloque. ","")&amp;IF(N131&lt;&gt;"Sim","🟡 Preço de mercado não conferido. ","")&amp;IF(O131="Sim","🔴 Possível DUPLA COBERTURA: a mesma despesa não pode ser paga duas vezes. ","")&amp;IF(AND(L131="Sim",K131&lt;&gt;"Remuneração do proponente"),"🟡 Pessoa vinculada: este valor SOMA no limite de remuneração do proponente. ","")&amp;IF(P131="","",IF(P131&gt;L_FORNECEDOR,"🔴 Fornecedor acima do limite sobre o valor captado (confira exceções). ",IF(P131&gt;=L_FORNECEDOR*MARGEM,"🟡 Fornecedor perto do limite. ","")))&amp;IF(AND(LEFT(K131,5)="Cachê",F131&lt;&gt;""),IF(F131&gt;IFERROR(VLOOKUP(K131,TAB_CATEGORIAS,2,FALSE),9E+99),"🔴 Cachê acima do limite: só com outras fontes ou apreciação da CNIC. ",""),"")&amp;IF(AND(LEFT(H131,6)="Outras",K131&lt;&gt;""),"🟡 Outras fontes: confirme que o recurso existe e está comprometido. ",""))))</f>
        <v/>
      </c>
    </row>
    <row r="132">
      <c r="A132" s="20" t="n"/>
      <c r="B132" s="20" t="n"/>
      <c r="C132" s="20" t="n"/>
      <c r="D132" s="20" t="n"/>
      <c r="E132" s="20" t="n"/>
      <c r="F132" s="17" t="n"/>
      <c r="G132" s="26">
        <f>IF(OR(E132="",F132=""),"",E132*F132)</f>
        <v/>
      </c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7">
        <f>IF(OR(I132="",G132="",LEFT(H132,9)&lt;&gt;"Incentivo",VALOR_CAPTADO=0),"",SUMIFS($G$8:$G$207,$I$8:$I$207,I132,$H$8:$H$207,"Incentivo*")/VALOR_CAPTADO)</f>
        <v/>
      </c>
      <c r="Q132" s="21">
        <f>IF(AND(B132="",G132=""),"",IF(IF(AND(B132="",G132=""),"",IF(OR(E132="",F132=""),"🟡 Falta quantidade ou valor. ","")&amp;IF(H132="","🟡 Informe a fonte. ","")&amp;IF(K132="","🟡 Classifique a categoria de limite. ","")&amp;IF(TRIM(M132)="","🔴 Sem justificativa de vínculo: se não explica, não coloque. ","")&amp;IF(N132&lt;&gt;"Sim","🟡 Preço de mercado não conferido. ","")&amp;IF(O132="Sim","🔴 Possível DUPLA COBERTURA: a mesma despesa não pode ser paga duas vezes. ","")&amp;IF(AND(L132="Sim",K132&lt;&gt;"Remuneração do proponente"),"🟡 Pessoa vinculada: este valor SOMA no limite de remuneração do proponente. ","")&amp;IF(P132="","",IF(P132&gt;L_FORNECEDOR,"🔴 Fornecedor acima do limite sobre o valor captado (confira exceções). ",IF(P132&gt;=L_FORNECEDOR*MARGEM,"🟡 Fornecedor perto do limite. ","")))&amp;IF(AND(LEFT(K132,5)="Cachê",F132&lt;&gt;""),IF(F132&gt;IFERROR(VLOOKUP(K132,TAB_CATEGORIAS,2,FALSE),9E+99),"🔴 Cachê acima do limite: só com outras fontes ou apreciação da CNIC. ",""),"")&amp;IF(AND(LEFT(H132,6)="Outras",K132&lt;&gt;""),"🟡 Outras fontes: confirme que o recurso existe e está comprometido. ",""))="","🟢 CONFERIDO",IF(AND(B132="",G132=""),"",IF(OR(E132="",F132=""),"🟡 Falta quantidade ou valor. ","")&amp;IF(H132="","🟡 Informe a fonte. ","")&amp;IF(K132="","🟡 Classifique a categoria de limite. ","")&amp;IF(TRIM(M132)="","🔴 Sem justificativa de vínculo: se não explica, não coloque. ","")&amp;IF(N132&lt;&gt;"Sim","🟡 Preço de mercado não conferido. ","")&amp;IF(O132="Sim","🔴 Possível DUPLA COBERTURA: a mesma despesa não pode ser paga duas vezes. ","")&amp;IF(AND(L132="Sim",K132&lt;&gt;"Remuneração do proponente"),"🟡 Pessoa vinculada: este valor SOMA no limite de remuneração do proponente. ","")&amp;IF(P132="","",IF(P132&gt;L_FORNECEDOR,"🔴 Fornecedor acima do limite sobre o valor captado (confira exceções). ",IF(P132&gt;=L_FORNECEDOR*MARGEM,"🟡 Fornecedor perto do limite. ","")))&amp;IF(AND(LEFT(K132,5)="Cachê",F132&lt;&gt;""),IF(F132&gt;IFERROR(VLOOKUP(K132,TAB_CATEGORIAS,2,FALSE),9E+99),"🔴 Cachê acima do limite: só com outras fontes ou apreciação da CNIC. ",""),"")&amp;IF(AND(LEFT(H132,6)="Outras",K132&lt;&gt;""),"🟡 Outras fontes: confirme que o recurso existe e está comprometido. ",""))))</f>
        <v/>
      </c>
    </row>
    <row r="133">
      <c r="A133" s="20" t="n"/>
      <c r="B133" s="20" t="n"/>
      <c r="C133" s="20" t="n"/>
      <c r="D133" s="20" t="n"/>
      <c r="E133" s="20" t="n"/>
      <c r="F133" s="17" t="n"/>
      <c r="G133" s="26">
        <f>IF(OR(E133="",F133=""),"",E133*F133)</f>
        <v/>
      </c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7">
        <f>IF(OR(I133="",G133="",LEFT(H133,9)&lt;&gt;"Incentivo",VALOR_CAPTADO=0),"",SUMIFS($G$8:$G$207,$I$8:$I$207,I133,$H$8:$H$207,"Incentivo*")/VALOR_CAPTADO)</f>
        <v/>
      </c>
      <c r="Q133" s="21">
        <f>IF(AND(B133="",G133=""),"",IF(IF(AND(B133="",G133=""),"",IF(OR(E133="",F133=""),"🟡 Falta quantidade ou valor. ","")&amp;IF(H133="","🟡 Informe a fonte. ","")&amp;IF(K133="","🟡 Classifique a categoria de limite. ","")&amp;IF(TRIM(M133)="","🔴 Sem justificativa de vínculo: se não explica, não coloque. ","")&amp;IF(N133&lt;&gt;"Sim","🟡 Preço de mercado não conferido. ","")&amp;IF(O133="Sim","🔴 Possível DUPLA COBERTURA: a mesma despesa não pode ser paga duas vezes. ","")&amp;IF(AND(L133="Sim",K133&lt;&gt;"Remuneração do proponente"),"🟡 Pessoa vinculada: este valor SOMA no limite de remuneração do proponente. ","")&amp;IF(P133="","",IF(P133&gt;L_FORNECEDOR,"🔴 Fornecedor acima do limite sobre o valor captado (confira exceções). ",IF(P133&gt;=L_FORNECEDOR*MARGEM,"🟡 Fornecedor perto do limite. ","")))&amp;IF(AND(LEFT(K133,5)="Cachê",F133&lt;&gt;""),IF(F133&gt;IFERROR(VLOOKUP(K133,TAB_CATEGORIAS,2,FALSE),9E+99),"🔴 Cachê acima do limite: só com outras fontes ou apreciação da CNIC. ",""),"")&amp;IF(AND(LEFT(H133,6)="Outras",K133&lt;&gt;""),"🟡 Outras fontes: confirme que o recurso existe e está comprometido. ",""))="","🟢 CONFERIDO",IF(AND(B133="",G133=""),"",IF(OR(E133="",F133=""),"🟡 Falta quantidade ou valor. ","")&amp;IF(H133="","🟡 Informe a fonte. ","")&amp;IF(K133="","🟡 Classifique a categoria de limite. ","")&amp;IF(TRIM(M133)="","🔴 Sem justificativa de vínculo: se não explica, não coloque. ","")&amp;IF(N133&lt;&gt;"Sim","🟡 Preço de mercado não conferido. ","")&amp;IF(O133="Sim","🔴 Possível DUPLA COBERTURA: a mesma despesa não pode ser paga duas vezes. ","")&amp;IF(AND(L133="Sim",K133&lt;&gt;"Remuneração do proponente"),"🟡 Pessoa vinculada: este valor SOMA no limite de remuneração do proponente. ","")&amp;IF(P133="","",IF(P133&gt;L_FORNECEDOR,"🔴 Fornecedor acima do limite sobre o valor captado (confira exceções). ",IF(P133&gt;=L_FORNECEDOR*MARGEM,"🟡 Fornecedor perto do limite. ","")))&amp;IF(AND(LEFT(K133,5)="Cachê",F133&lt;&gt;""),IF(F133&gt;IFERROR(VLOOKUP(K133,TAB_CATEGORIAS,2,FALSE),9E+99),"🔴 Cachê acima do limite: só com outras fontes ou apreciação da CNIC. ",""),"")&amp;IF(AND(LEFT(H133,6)="Outras",K133&lt;&gt;""),"🟡 Outras fontes: confirme que o recurso existe e está comprometido. ",""))))</f>
        <v/>
      </c>
    </row>
    <row r="134">
      <c r="A134" s="20" t="n"/>
      <c r="B134" s="20" t="n"/>
      <c r="C134" s="20" t="n"/>
      <c r="D134" s="20" t="n"/>
      <c r="E134" s="20" t="n"/>
      <c r="F134" s="17" t="n"/>
      <c r="G134" s="26">
        <f>IF(OR(E134="",F134=""),"",E134*F134)</f>
        <v/>
      </c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7">
        <f>IF(OR(I134="",G134="",LEFT(H134,9)&lt;&gt;"Incentivo",VALOR_CAPTADO=0),"",SUMIFS($G$8:$G$207,$I$8:$I$207,I134,$H$8:$H$207,"Incentivo*")/VALOR_CAPTADO)</f>
        <v/>
      </c>
      <c r="Q134" s="21">
        <f>IF(AND(B134="",G134=""),"",IF(IF(AND(B134="",G134=""),"",IF(OR(E134="",F134=""),"🟡 Falta quantidade ou valor. ","")&amp;IF(H134="","🟡 Informe a fonte. ","")&amp;IF(K134="","🟡 Classifique a categoria de limite. ","")&amp;IF(TRIM(M134)="","🔴 Sem justificativa de vínculo: se não explica, não coloque. ","")&amp;IF(N134&lt;&gt;"Sim","🟡 Preço de mercado não conferido. ","")&amp;IF(O134="Sim","🔴 Possível DUPLA COBERTURA: a mesma despesa não pode ser paga duas vezes. ","")&amp;IF(AND(L134="Sim",K134&lt;&gt;"Remuneração do proponente"),"🟡 Pessoa vinculada: este valor SOMA no limite de remuneração do proponente. ","")&amp;IF(P134="","",IF(P134&gt;L_FORNECEDOR,"🔴 Fornecedor acima do limite sobre o valor captado (confira exceções). ",IF(P134&gt;=L_FORNECEDOR*MARGEM,"🟡 Fornecedor perto do limite. ","")))&amp;IF(AND(LEFT(K134,5)="Cachê",F134&lt;&gt;""),IF(F134&gt;IFERROR(VLOOKUP(K134,TAB_CATEGORIAS,2,FALSE),9E+99),"🔴 Cachê acima do limite: só com outras fontes ou apreciação da CNIC. ",""),"")&amp;IF(AND(LEFT(H134,6)="Outras",K134&lt;&gt;""),"🟡 Outras fontes: confirme que o recurso existe e está comprometido. ",""))="","🟢 CONFERIDO",IF(AND(B134="",G134=""),"",IF(OR(E134="",F134=""),"🟡 Falta quantidade ou valor. ","")&amp;IF(H134="","🟡 Informe a fonte. ","")&amp;IF(K134="","🟡 Classifique a categoria de limite. ","")&amp;IF(TRIM(M134)="","🔴 Sem justificativa de vínculo: se não explica, não coloque. ","")&amp;IF(N134&lt;&gt;"Sim","🟡 Preço de mercado não conferido. ","")&amp;IF(O134="Sim","🔴 Possível DUPLA COBERTURA: a mesma despesa não pode ser paga duas vezes. ","")&amp;IF(AND(L134="Sim",K134&lt;&gt;"Remuneração do proponente"),"🟡 Pessoa vinculada: este valor SOMA no limite de remuneração do proponente. ","")&amp;IF(P134="","",IF(P134&gt;L_FORNECEDOR,"🔴 Fornecedor acima do limite sobre o valor captado (confira exceções). ",IF(P134&gt;=L_FORNECEDOR*MARGEM,"🟡 Fornecedor perto do limite. ","")))&amp;IF(AND(LEFT(K134,5)="Cachê",F134&lt;&gt;""),IF(F134&gt;IFERROR(VLOOKUP(K134,TAB_CATEGORIAS,2,FALSE),9E+99),"🔴 Cachê acima do limite: só com outras fontes ou apreciação da CNIC. ",""),"")&amp;IF(AND(LEFT(H134,6)="Outras",K134&lt;&gt;""),"🟡 Outras fontes: confirme que o recurso existe e está comprometido. ",""))))</f>
        <v/>
      </c>
    </row>
    <row r="135">
      <c r="A135" s="20" t="n"/>
      <c r="B135" s="20" t="n"/>
      <c r="C135" s="20" t="n"/>
      <c r="D135" s="20" t="n"/>
      <c r="E135" s="20" t="n"/>
      <c r="F135" s="17" t="n"/>
      <c r="G135" s="26">
        <f>IF(OR(E135="",F135=""),"",E135*F135)</f>
        <v/>
      </c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7">
        <f>IF(OR(I135="",G135="",LEFT(H135,9)&lt;&gt;"Incentivo",VALOR_CAPTADO=0),"",SUMIFS($G$8:$G$207,$I$8:$I$207,I135,$H$8:$H$207,"Incentivo*")/VALOR_CAPTADO)</f>
        <v/>
      </c>
      <c r="Q135" s="21">
        <f>IF(AND(B135="",G135=""),"",IF(IF(AND(B135="",G135=""),"",IF(OR(E135="",F135=""),"🟡 Falta quantidade ou valor. ","")&amp;IF(H135="","🟡 Informe a fonte. ","")&amp;IF(K135="","🟡 Classifique a categoria de limite. ","")&amp;IF(TRIM(M135)="","🔴 Sem justificativa de vínculo: se não explica, não coloque. ","")&amp;IF(N135&lt;&gt;"Sim","🟡 Preço de mercado não conferido. ","")&amp;IF(O135="Sim","🔴 Possível DUPLA COBERTURA: a mesma despesa não pode ser paga duas vezes. ","")&amp;IF(AND(L135="Sim",K135&lt;&gt;"Remuneração do proponente"),"🟡 Pessoa vinculada: este valor SOMA no limite de remuneração do proponente. ","")&amp;IF(P135="","",IF(P135&gt;L_FORNECEDOR,"🔴 Fornecedor acima do limite sobre o valor captado (confira exceções). ",IF(P135&gt;=L_FORNECEDOR*MARGEM,"🟡 Fornecedor perto do limite. ","")))&amp;IF(AND(LEFT(K135,5)="Cachê",F135&lt;&gt;""),IF(F135&gt;IFERROR(VLOOKUP(K135,TAB_CATEGORIAS,2,FALSE),9E+99),"🔴 Cachê acima do limite: só com outras fontes ou apreciação da CNIC. ",""),"")&amp;IF(AND(LEFT(H135,6)="Outras",K135&lt;&gt;""),"🟡 Outras fontes: confirme que o recurso existe e está comprometido. ",""))="","🟢 CONFERIDO",IF(AND(B135="",G135=""),"",IF(OR(E135="",F135=""),"🟡 Falta quantidade ou valor. ","")&amp;IF(H135="","🟡 Informe a fonte. ","")&amp;IF(K135="","🟡 Classifique a categoria de limite. ","")&amp;IF(TRIM(M135)="","🔴 Sem justificativa de vínculo: se não explica, não coloque. ","")&amp;IF(N135&lt;&gt;"Sim","🟡 Preço de mercado não conferido. ","")&amp;IF(O135="Sim","🔴 Possível DUPLA COBERTURA: a mesma despesa não pode ser paga duas vezes. ","")&amp;IF(AND(L135="Sim",K135&lt;&gt;"Remuneração do proponente"),"🟡 Pessoa vinculada: este valor SOMA no limite de remuneração do proponente. ","")&amp;IF(P135="","",IF(P135&gt;L_FORNECEDOR,"🔴 Fornecedor acima do limite sobre o valor captado (confira exceções). ",IF(P135&gt;=L_FORNECEDOR*MARGEM,"🟡 Fornecedor perto do limite. ","")))&amp;IF(AND(LEFT(K135,5)="Cachê",F135&lt;&gt;""),IF(F135&gt;IFERROR(VLOOKUP(K135,TAB_CATEGORIAS,2,FALSE),9E+99),"🔴 Cachê acima do limite: só com outras fontes ou apreciação da CNIC. ",""),"")&amp;IF(AND(LEFT(H135,6)="Outras",K135&lt;&gt;""),"🟡 Outras fontes: confirme que o recurso existe e está comprometido. ",""))))</f>
        <v/>
      </c>
    </row>
    <row r="136">
      <c r="A136" s="20" t="n"/>
      <c r="B136" s="20" t="n"/>
      <c r="C136" s="20" t="n"/>
      <c r="D136" s="20" t="n"/>
      <c r="E136" s="20" t="n"/>
      <c r="F136" s="17" t="n"/>
      <c r="G136" s="26">
        <f>IF(OR(E136="",F136=""),"",E136*F136)</f>
        <v/>
      </c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7">
        <f>IF(OR(I136="",G136="",LEFT(H136,9)&lt;&gt;"Incentivo",VALOR_CAPTADO=0),"",SUMIFS($G$8:$G$207,$I$8:$I$207,I136,$H$8:$H$207,"Incentivo*")/VALOR_CAPTADO)</f>
        <v/>
      </c>
      <c r="Q136" s="21">
        <f>IF(AND(B136="",G136=""),"",IF(IF(AND(B136="",G136=""),"",IF(OR(E136="",F136=""),"🟡 Falta quantidade ou valor. ","")&amp;IF(H136="","🟡 Informe a fonte. ","")&amp;IF(K136="","🟡 Classifique a categoria de limite. ","")&amp;IF(TRIM(M136)="","🔴 Sem justificativa de vínculo: se não explica, não coloque. ","")&amp;IF(N136&lt;&gt;"Sim","🟡 Preço de mercado não conferido. ","")&amp;IF(O136="Sim","🔴 Possível DUPLA COBERTURA: a mesma despesa não pode ser paga duas vezes. ","")&amp;IF(AND(L136="Sim",K136&lt;&gt;"Remuneração do proponente"),"🟡 Pessoa vinculada: este valor SOMA no limite de remuneração do proponente. ","")&amp;IF(P136="","",IF(P136&gt;L_FORNECEDOR,"🔴 Fornecedor acima do limite sobre o valor captado (confira exceções). ",IF(P136&gt;=L_FORNECEDOR*MARGEM,"🟡 Fornecedor perto do limite. ","")))&amp;IF(AND(LEFT(K136,5)="Cachê",F136&lt;&gt;""),IF(F136&gt;IFERROR(VLOOKUP(K136,TAB_CATEGORIAS,2,FALSE),9E+99),"🔴 Cachê acima do limite: só com outras fontes ou apreciação da CNIC. ",""),"")&amp;IF(AND(LEFT(H136,6)="Outras",K136&lt;&gt;""),"🟡 Outras fontes: confirme que o recurso existe e está comprometido. ",""))="","🟢 CONFERIDO",IF(AND(B136="",G136=""),"",IF(OR(E136="",F136=""),"🟡 Falta quantidade ou valor. ","")&amp;IF(H136="","🟡 Informe a fonte. ","")&amp;IF(K136="","🟡 Classifique a categoria de limite. ","")&amp;IF(TRIM(M136)="","🔴 Sem justificativa de vínculo: se não explica, não coloque. ","")&amp;IF(N136&lt;&gt;"Sim","🟡 Preço de mercado não conferido. ","")&amp;IF(O136="Sim","🔴 Possível DUPLA COBERTURA: a mesma despesa não pode ser paga duas vezes. ","")&amp;IF(AND(L136="Sim",K136&lt;&gt;"Remuneração do proponente"),"🟡 Pessoa vinculada: este valor SOMA no limite de remuneração do proponente. ","")&amp;IF(P136="","",IF(P136&gt;L_FORNECEDOR,"🔴 Fornecedor acima do limite sobre o valor captado (confira exceções). ",IF(P136&gt;=L_FORNECEDOR*MARGEM,"🟡 Fornecedor perto do limite. ","")))&amp;IF(AND(LEFT(K136,5)="Cachê",F136&lt;&gt;""),IF(F136&gt;IFERROR(VLOOKUP(K136,TAB_CATEGORIAS,2,FALSE),9E+99),"🔴 Cachê acima do limite: só com outras fontes ou apreciação da CNIC. ",""),"")&amp;IF(AND(LEFT(H136,6)="Outras",K136&lt;&gt;""),"🟡 Outras fontes: confirme que o recurso existe e está comprometido. ",""))))</f>
        <v/>
      </c>
    </row>
    <row r="137">
      <c r="A137" s="20" t="n"/>
      <c r="B137" s="20" t="n"/>
      <c r="C137" s="20" t="n"/>
      <c r="D137" s="20" t="n"/>
      <c r="E137" s="20" t="n"/>
      <c r="F137" s="17" t="n"/>
      <c r="G137" s="26">
        <f>IF(OR(E137="",F137=""),"",E137*F137)</f>
        <v/>
      </c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7">
        <f>IF(OR(I137="",G137="",LEFT(H137,9)&lt;&gt;"Incentivo",VALOR_CAPTADO=0),"",SUMIFS($G$8:$G$207,$I$8:$I$207,I137,$H$8:$H$207,"Incentivo*")/VALOR_CAPTADO)</f>
        <v/>
      </c>
      <c r="Q137" s="21">
        <f>IF(AND(B137="",G137=""),"",IF(IF(AND(B137="",G137=""),"",IF(OR(E137="",F137=""),"🟡 Falta quantidade ou valor. ","")&amp;IF(H137="","🟡 Informe a fonte. ","")&amp;IF(K137="","🟡 Classifique a categoria de limite. ","")&amp;IF(TRIM(M137)="","🔴 Sem justificativa de vínculo: se não explica, não coloque. ","")&amp;IF(N137&lt;&gt;"Sim","🟡 Preço de mercado não conferido. ","")&amp;IF(O137="Sim","🔴 Possível DUPLA COBERTURA: a mesma despesa não pode ser paga duas vezes. ","")&amp;IF(AND(L137="Sim",K137&lt;&gt;"Remuneração do proponente"),"🟡 Pessoa vinculada: este valor SOMA no limite de remuneração do proponente. ","")&amp;IF(P137="","",IF(P137&gt;L_FORNECEDOR,"🔴 Fornecedor acima do limite sobre o valor captado (confira exceções). ",IF(P137&gt;=L_FORNECEDOR*MARGEM,"🟡 Fornecedor perto do limite. ","")))&amp;IF(AND(LEFT(K137,5)="Cachê",F137&lt;&gt;""),IF(F137&gt;IFERROR(VLOOKUP(K137,TAB_CATEGORIAS,2,FALSE),9E+99),"🔴 Cachê acima do limite: só com outras fontes ou apreciação da CNIC. ",""),"")&amp;IF(AND(LEFT(H137,6)="Outras",K137&lt;&gt;""),"🟡 Outras fontes: confirme que o recurso existe e está comprometido. ",""))="","🟢 CONFERIDO",IF(AND(B137="",G137=""),"",IF(OR(E137="",F137=""),"🟡 Falta quantidade ou valor. ","")&amp;IF(H137="","🟡 Informe a fonte. ","")&amp;IF(K137="","🟡 Classifique a categoria de limite. ","")&amp;IF(TRIM(M137)="","🔴 Sem justificativa de vínculo: se não explica, não coloque. ","")&amp;IF(N137&lt;&gt;"Sim","🟡 Preço de mercado não conferido. ","")&amp;IF(O137="Sim","🔴 Possível DUPLA COBERTURA: a mesma despesa não pode ser paga duas vezes. ","")&amp;IF(AND(L137="Sim",K137&lt;&gt;"Remuneração do proponente"),"🟡 Pessoa vinculada: este valor SOMA no limite de remuneração do proponente. ","")&amp;IF(P137="","",IF(P137&gt;L_FORNECEDOR,"🔴 Fornecedor acima do limite sobre o valor captado (confira exceções). ",IF(P137&gt;=L_FORNECEDOR*MARGEM,"🟡 Fornecedor perto do limite. ","")))&amp;IF(AND(LEFT(K137,5)="Cachê",F137&lt;&gt;""),IF(F137&gt;IFERROR(VLOOKUP(K137,TAB_CATEGORIAS,2,FALSE),9E+99),"🔴 Cachê acima do limite: só com outras fontes ou apreciação da CNIC. ",""),"")&amp;IF(AND(LEFT(H137,6)="Outras",K137&lt;&gt;""),"🟡 Outras fontes: confirme que o recurso existe e está comprometido. ",""))))</f>
        <v/>
      </c>
    </row>
    <row r="138">
      <c r="A138" s="20" t="n"/>
      <c r="B138" s="20" t="n"/>
      <c r="C138" s="20" t="n"/>
      <c r="D138" s="20" t="n"/>
      <c r="E138" s="20" t="n"/>
      <c r="F138" s="17" t="n"/>
      <c r="G138" s="26">
        <f>IF(OR(E138="",F138=""),"",E138*F138)</f>
        <v/>
      </c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7">
        <f>IF(OR(I138="",G138="",LEFT(H138,9)&lt;&gt;"Incentivo",VALOR_CAPTADO=0),"",SUMIFS($G$8:$G$207,$I$8:$I$207,I138,$H$8:$H$207,"Incentivo*")/VALOR_CAPTADO)</f>
        <v/>
      </c>
      <c r="Q138" s="21">
        <f>IF(AND(B138="",G138=""),"",IF(IF(AND(B138="",G138=""),"",IF(OR(E138="",F138=""),"🟡 Falta quantidade ou valor. ","")&amp;IF(H138="","🟡 Informe a fonte. ","")&amp;IF(K138="","🟡 Classifique a categoria de limite. ","")&amp;IF(TRIM(M138)="","🔴 Sem justificativa de vínculo: se não explica, não coloque. ","")&amp;IF(N138&lt;&gt;"Sim","🟡 Preço de mercado não conferido. ","")&amp;IF(O138="Sim","🔴 Possível DUPLA COBERTURA: a mesma despesa não pode ser paga duas vezes. ","")&amp;IF(AND(L138="Sim",K138&lt;&gt;"Remuneração do proponente"),"🟡 Pessoa vinculada: este valor SOMA no limite de remuneração do proponente. ","")&amp;IF(P138="","",IF(P138&gt;L_FORNECEDOR,"🔴 Fornecedor acima do limite sobre o valor captado (confira exceções). ",IF(P138&gt;=L_FORNECEDOR*MARGEM,"🟡 Fornecedor perto do limite. ","")))&amp;IF(AND(LEFT(K138,5)="Cachê",F138&lt;&gt;""),IF(F138&gt;IFERROR(VLOOKUP(K138,TAB_CATEGORIAS,2,FALSE),9E+99),"🔴 Cachê acima do limite: só com outras fontes ou apreciação da CNIC. ",""),"")&amp;IF(AND(LEFT(H138,6)="Outras",K138&lt;&gt;""),"🟡 Outras fontes: confirme que o recurso existe e está comprometido. ",""))="","🟢 CONFERIDO",IF(AND(B138="",G138=""),"",IF(OR(E138="",F138=""),"🟡 Falta quantidade ou valor. ","")&amp;IF(H138="","🟡 Informe a fonte. ","")&amp;IF(K138="","🟡 Classifique a categoria de limite. ","")&amp;IF(TRIM(M138)="","🔴 Sem justificativa de vínculo: se não explica, não coloque. ","")&amp;IF(N138&lt;&gt;"Sim","🟡 Preço de mercado não conferido. ","")&amp;IF(O138="Sim","🔴 Possível DUPLA COBERTURA: a mesma despesa não pode ser paga duas vezes. ","")&amp;IF(AND(L138="Sim",K138&lt;&gt;"Remuneração do proponente"),"🟡 Pessoa vinculada: este valor SOMA no limite de remuneração do proponente. ","")&amp;IF(P138="","",IF(P138&gt;L_FORNECEDOR,"🔴 Fornecedor acima do limite sobre o valor captado (confira exceções). ",IF(P138&gt;=L_FORNECEDOR*MARGEM,"🟡 Fornecedor perto do limite. ","")))&amp;IF(AND(LEFT(K138,5)="Cachê",F138&lt;&gt;""),IF(F138&gt;IFERROR(VLOOKUP(K138,TAB_CATEGORIAS,2,FALSE),9E+99),"🔴 Cachê acima do limite: só com outras fontes ou apreciação da CNIC. ",""),"")&amp;IF(AND(LEFT(H138,6)="Outras",K138&lt;&gt;""),"🟡 Outras fontes: confirme que o recurso existe e está comprometido. ",""))))</f>
        <v/>
      </c>
    </row>
    <row r="139">
      <c r="A139" s="20" t="n"/>
      <c r="B139" s="20" t="n"/>
      <c r="C139" s="20" t="n"/>
      <c r="D139" s="20" t="n"/>
      <c r="E139" s="20" t="n"/>
      <c r="F139" s="17" t="n"/>
      <c r="G139" s="26">
        <f>IF(OR(E139="",F139=""),"",E139*F139)</f>
        <v/>
      </c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7">
        <f>IF(OR(I139="",G139="",LEFT(H139,9)&lt;&gt;"Incentivo",VALOR_CAPTADO=0),"",SUMIFS($G$8:$G$207,$I$8:$I$207,I139,$H$8:$H$207,"Incentivo*")/VALOR_CAPTADO)</f>
        <v/>
      </c>
      <c r="Q139" s="21">
        <f>IF(AND(B139="",G139=""),"",IF(IF(AND(B139="",G139=""),"",IF(OR(E139="",F139=""),"🟡 Falta quantidade ou valor. ","")&amp;IF(H139="","🟡 Informe a fonte. ","")&amp;IF(K139="","🟡 Classifique a categoria de limite. ","")&amp;IF(TRIM(M139)="","🔴 Sem justificativa de vínculo: se não explica, não coloque. ","")&amp;IF(N139&lt;&gt;"Sim","🟡 Preço de mercado não conferido. ","")&amp;IF(O139="Sim","🔴 Possível DUPLA COBERTURA: a mesma despesa não pode ser paga duas vezes. ","")&amp;IF(AND(L139="Sim",K139&lt;&gt;"Remuneração do proponente"),"🟡 Pessoa vinculada: este valor SOMA no limite de remuneração do proponente. ","")&amp;IF(P139="","",IF(P139&gt;L_FORNECEDOR,"🔴 Fornecedor acima do limite sobre o valor captado (confira exceções). ",IF(P139&gt;=L_FORNECEDOR*MARGEM,"🟡 Fornecedor perto do limite. ","")))&amp;IF(AND(LEFT(K139,5)="Cachê",F139&lt;&gt;""),IF(F139&gt;IFERROR(VLOOKUP(K139,TAB_CATEGORIAS,2,FALSE),9E+99),"🔴 Cachê acima do limite: só com outras fontes ou apreciação da CNIC. ",""),"")&amp;IF(AND(LEFT(H139,6)="Outras",K139&lt;&gt;""),"🟡 Outras fontes: confirme que o recurso existe e está comprometido. ",""))="","🟢 CONFERIDO",IF(AND(B139="",G139=""),"",IF(OR(E139="",F139=""),"🟡 Falta quantidade ou valor. ","")&amp;IF(H139="","🟡 Informe a fonte. ","")&amp;IF(K139="","🟡 Classifique a categoria de limite. ","")&amp;IF(TRIM(M139)="","🔴 Sem justificativa de vínculo: se não explica, não coloque. ","")&amp;IF(N139&lt;&gt;"Sim","🟡 Preço de mercado não conferido. ","")&amp;IF(O139="Sim","🔴 Possível DUPLA COBERTURA: a mesma despesa não pode ser paga duas vezes. ","")&amp;IF(AND(L139="Sim",K139&lt;&gt;"Remuneração do proponente"),"🟡 Pessoa vinculada: este valor SOMA no limite de remuneração do proponente. ","")&amp;IF(P139="","",IF(P139&gt;L_FORNECEDOR,"🔴 Fornecedor acima do limite sobre o valor captado (confira exceções). ",IF(P139&gt;=L_FORNECEDOR*MARGEM,"🟡 Fornecedor perto do limite. ","")))&amp;IF(AND(LEFT(K139,5)="Cachê",F139&lt;&gt;""),IF(F139&gt;IFERROR(VLOOKUP(K139,TAB_CATEGORIAS,2,FALSE),9E+99),"🔴 Cachê acima do limite: só com outras fontes ou apreciação da CNIC. ",""),"")&amp;IF(AND(LEFT(H139,6)="Outras",K139&lt;&gt;""),"🟡 Outras fontes: confirme que o recurso existe e está comprometido. ",""))))</f>
        <v/>
      </c>
    </row>
    <row r="140">
      <c r="A140" s="20" t="n"/>
      <c r="B140" s="20" t="n"/>
      <c r="C140" s="20" t="n"/>
      <c r="D140" s="20" t="n"/>
      <c r="E140" s="20" t="n"/>
      <c r="F140" s="17" t="n"/>
      <c r="G140" s="26">
        <f>IF(OR(E140="",F140=""),"",E140*F140)</f>
        <v/>
      </c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7">
        <f>IF(OR(I140="",G140="",LEFT(H140,9)&lt;&gt;"Incentivo",VALOR_CAPTADO=0),"",SUMIFS($G$8:$G$207,$I$8:$I$207,I140,$H$8:$H$207,"Incentivo*")/VALOR_CAPTADO)</f>
        <v/>
      </c>
      <c r="Q140" s="21">
        <f>IF(AND(B140="",G140=""),"",IF(IF(AND(B140="",G140=""),"",IF(OR(E140="",F140=""),"🟡 Falta quantidade ou valor. ","")&amp;IF(H140="","🟡 Informe a fonte. ","")&amp;IF(K140="","🟡 Classifique a categoria de limite. ","")&amp;IF(TRIM(M140)="","🔴 Sem justificativa de vínculo: se não explica, não coloque. ","")&amp;IF(N140&lt;&gt;"Sim","🟡 Preço de mercado não conferido. ","")&amp;IF(O140="Sim","🔴 Possível DUPLA COBERTURA: a mesma despesa não pode ser paga duas vezes. ","")&amp;IF(AND(L140="Sim",K140&lt;&gt;"Remuneração do proponente"),"🟡 Pessoa vinculada: este valor SOMA no limite de remuneração do proponente. ","")&amp;IF(P140="","",IF(P140&gt;L_FORNECEDOR,"🔴 Fornecedor acima do limite sobre o valor captado (confira exceções). ",IF(P140&gt;=L_FORNECEDOR*MARGEM,"🟡 Fornecedor perto do limite. ","")))&amp;IF(AND(LEFT(K140,5)="Cachê",F140&lt;&gt;""),IF(F140&gt;IFERROR(VLOOKUP(K140,TAB_CATEGORIAS,2,FALSE),9E+99),"🔴 Cachê acima do limite: só com outras fontes ou apreciação da CNIC. ",""),"")&amp;IF(AND(LEFT(H140,6)="Outras",K140&lt;&gt;""),"🟡 Outras fontes: confirme que o recurso existe e está comprometido. ",""))="","🟢 CONFERIDO",IF(AND(B140="",G140=""),"",IF(OR(E140="",F140=""),"🟡 Falta quantidade ou valor. ","")&amp;IF(H140="","🟡 Informe a fonte. ","")&amp;IF(K140="","🟡 Classifique a categoria de limite. ","")&amp;IF(TRIM(M140)="","🔴 Sem justificativa de vínculo: se não explica, não coloque. ","")&amp;IF(N140&lt;&gt;"Sim","🟡 Preço de mercado não conferido. ","")&amp;IF(O140="Sim","🔴 Possível DUPLA COBERTURA: a mesma despesa não pode ser paga duas vezes. ","")&amp;IF(AND(L140="Sim",K140&lt;&gt;"Remuneração do proponente"),"🟡 Pessoa vinculada: este valor SOMA no limite de remuneração do proponente. ","")&amp;IF(P140="","",IF(P140&gt;L_FORNECEDOR,"🔴 Fornecedor acima do limite sobre o valor captado (confira exceções). ",IF(P140&gt;=L_FORNECEDOR*MARGEM,"🟡 Fornecedor perto do limite. ","")))&amp;IF(AND(LEFT(K140,5)="Cachê",F140&lt;&gt;""),IF(F140&gt;IFERROR(VLOOKUP(K140,TAB_CATEGORIAS,2,FALSE),9E+99),"🔴 Cachê acima do limite: só com outras fontes ou apreciação da CNIC. ",""),"")&amp;IF(AND(LEFT(H140,6)="Outras",K140&lt;&gt;""),"🟡 Outras fontes: confirme que o recurso existe e está comprometido. ",""))))</f>
        <v/>
      </c>
    </row>
    <row r="141">
      <c r="A141" s="20" t="n"/>
      <c r="B141" s="20" t="n"/>
      <c r="C141" s="20" t="n"/>
      <c r="D141" s="20" t="n"/>
      <c r="E141" s="20" t="n"/>
      <c r="F141" s="17" t="n"/>
      <c r="G141" s="26">
        <f>IF(OR(E141="",F141=""),"",E141*F141)</f>
        <v/>
      </c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7">
        <f>IF(OR(I141="",G141="",LEFT(H141,9)&lt;&gt;"Incentivo",VALOR_CAPTADO=0),"",SUMIFS($G$8:$G$207,$I$8:$I$207,I141,$H$8:$H$207,"Incentivo*")/VALOR_CAPTADO)</f>
        <v/>
      </c>
      <c r="Q141" s="21">
        <f>IF(AND(B141="",G141=""),"",IF(IF(AND(B141="",G141=""),"",IF(OR(E141="",F141=""),"🟡 Falta quantidade ou valor. ","")&amp;IF(H141="","🟡 Informe a fonte. ","")&amp;IF(K141="","🟡 Classifique a categoria de limite. ","")&amp;IF(TRIM(M141)="","🔴 Sem justificativa de vínculo: se não explica, não coloque. ","")&amp;IF(N141&lt;&gt;"Sim","🟡 Preço de mercado não conferido. ","")&amp;IF(O141="Sim","🔴 Possível DUPLA COBERTURA: a mesma despesa não pode ser paga duas vezes. ","")&amp;IF(AND(L141="Sim",K141&lt;&gt;"Remuneração do proponente"),"🟡 Pessoa vinculada: este valor SOMA no limite de remuneração do proponente. ","")&amp;IF(P141="","",IF(P141&gt;L_FORNECEDOR,"🔴 Fornecedor acima do limite sobre o valor captado (confira exceções). ",IF(P141&gt;=L_FORNECEDOR*MARGEM,"🟡 Fornecedor perto do limite. ","")))&amp;IF(AND(LEFT(K141,5)="Cachê",F141&lt;&gt;""),IF(F141&gt;IFERROR(VLOOKUP(K141,TAB_CATEGORIAS,2,FALSE),9E+99),"🔴 Cachê acima do limite: só com outras fontes ou apreciação da CNIC. ",""),"")&amp;IF(AND(LEFT(H141,6)="Outras",K141&lt;&gt;""),"🟡 Outras fontes: confirme que o recurso existe e está comprometido. ",""))="","🟢 CONFERIDO",IF(AND(B141="",G141=""),"",IF(OR(E141="",F141=""),"🟡 Falta quantidade ou valor. ","")&amp;IF(H141="","🟡 Informe a fonte. ","")&amp;IF(K141="","🟡 Classifique a categoria de limite. ","")&amp;IF(TRIM(M141)="","🔴 Sem justificativa de vínculo: se não explica, não coloque. ","")&amp;IF(N141&lt;&gt;"Sim","🟡 Preço de mercado não conferido. ","")&amp;IF(O141="Sim","🔴 Possível DUPLA COBERTURA: a mesma despesa não pode ser paga duas vezes. ","")&amp;IF(AND(L141="Sim",K141&lt;&gt;"Remuneração do proponente"),"🟡 Pessoa vinculada: este valor SOMA no limite de remuneração do proponente. ","")&amp;IF(P141="","",IF(P141&gt;L_FORNECEDOR,"🔴 Fornecedor acima do limite sobre o valor captado (confira exceções). ",IF(P141&gt;=L_FORNECEDOR*MARGEM,"🟡 Fornecedor perto do limite. ","")))&amp;IF(AND(LEFT(K141,5)="Cachê",F141&lt;&gt;""),IF(F141&gt;IFERROR(VLOOKUP(K141,TAB_CATEGORIAS,2,FALSE),9E+99),"🔴 Cachê acima do limite: só com outras fontes ou apreciação da CNIC. ",""),"")&amp;IF(AND(LEFT(H141,6)="Outras",K141&lt;&gt;""),"🟡 Outras fontes: confirme que o recurso existe e está comprometido. ",""))))</f>
        <v/>
      </c>
    </row>
    <row r="142">
      <c r="A142" s="20" t="n"/>
      <c r="B142" s="20" t="n"/>
      <c r="C142" s="20" t="n"/>
      <c r="D142" s="20" t="n"/>
      <c r="E142" s="20" t="n"/>
      <c r="F142" s="17" t="n"/>
      <c r="G142" s="26">
        <f>IF(OR(E142="",F142=""),"",E142*F142)</f>
        <v/>
      </c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7">
        <f>IF(OR(I142="",G142="",LEFT(H142,9)&lt;&gt;"Incentivo",VALOR_CAPTADO=0),"",SUMIFS($G$8:$G$207,$I$8:$I$207,I142,$H$8:$H$207,"Incentivo*")/VALOR_CAPTADO)</f>
        <v/>
      </c>
      <c r="Q142" s="21">
        <f>IF(AND(B142="",G142=""),"",IF(IF(AND(B142="",G142=""),"",IF(OR(E142="",F142=""),"🟡 Falta quantidade ou valor. ","")&amp;IF(H142="","🟡 Informe a fonte. ","")&amp;IF(K142="","🟡 Classifique a categoria de limite. ","")&amp;IF(TRIM(M142)="","🔴 Sem justificativa de vínculo: se não explica, não coloque. ","")&amp;IF(N142&lt;&gt;"Sim","🟡 Preço de mercado não conferido. ","")&amp;IF(O142="Sim","🔴 Possível DUPLA COBERTURA: a mesma despesa não pode ser paga duas vezes. ","")&amp;IF(AND(L142="Sim",K142&lt;&gt;"Remuneração do proponente"),"🟡 Pessoa vinculada: este valor SOMA no limite de remuneração do proponente. ","")&amp;IF(P142="","",IF(P142&gt;L_FORNECEDOR,"🔴 Fornecedor acima do limite sobre o valor captado (confira exceções). ",IF(P142&gt;=L_FORNECEDOR*MARGEM,"🟡 Fornecedor perto do limite. ","")))&amp;IF(AND(LEFT(K142,5)="Cachê",F142&lt;&gt;""),IF(F142&gt;IFERROR(VLOOKUP(K142,TAB_CATEGORIAS,2,FALSE),9E+99),"🔴 Cachê acima do limite: só com outras fontes ou apreciação da CNIC. ",""),"")&amp;IF(AND(LEFT(H142,6)="Outras",K142&lt;&gt;""),"🟡 Outras fontes: confirme que o recurso existe e está comprometido. ",""))="","🟢 CONFERIDO",IF(AND(B142="",G142=""),"",IF(OR(E142="",F142=""),"🟡 Falta quantidade ou valor. ","")&amp;IF(H142="","🟡 Informe a fonte. ","")&amp;IF(K142="","🟡 Classifique a categoria de limite. ","")&amp;IF(TRIM(M142)="","🔴 Sem justificativa de vínculo: se não explica, não coloque. ","")&amp;IF(N142&lt;&gt;"Sim","🟡 Preço de mercado não conferido. ","")&amp;IF(O142="Sim","🔴 Possível DUPLA COBERTURA: a mesma despesa não pode ser paga duas vezes. ","")&amp;IF(AND(L142="Sim",K142&lt;&gt;"Remuneração do proponente"),"🟡 Pessoa vinculada: este valor SOMA no limite de remuneração do proponente. ","")&amp;IF(P142="","",IF(P142&gt;L_FORNECEDOR,"🔴 Fornecedor acima do limite sobre o valor captado (confira exceções). ",IF(P142&gt;=L_FORNECEDOR*MARGEM,"🟡 Fornecedor perto do limite. ","")))&amp;IF(AND(LEFT(K142,5)="Cachê",F142&lt;&gt;""),IF(F142&gt;IFERROR(VLOOKUP(K142,TAB_CATEGORIAS,2,FALSE),9E+99),"🔴 Cachê acima do limite: só com outras fontes ou apreciação da CNIC. ",""),"")&amp;IF(AND(LEFT(H142,6)="Outras",K142&lt;&gt;""),"🟡 Outras fontes: confirme que o recurso existe e está comprometido. ",""))))</f>
        <v/>
      </c>
    </row>
    <row r="143">
      <c r="A143" s="20" t="n"/>
      <c r="B143" s="20" t="n"/>
      <c r="C143" s="20" t="n"/>
      <c r="D143" s="20" t="n"/>
      <c r="E143" s="20" t="n"/>
      <c r="F143" s="17" t="n"/>
      <c r="G143" s="26">
        <f>IF(OR(E143="",F143=""),"",E143*F143)</f>
        <v/>
      </c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7">
        <f>IF(OR(I143="",G143="",LEFT(H143,9)&lt;&gt;"Incentivo",VALOR_CAPTADO=0),"",SUMIFS($G$8:$G$207,$I$8:$I$207,I143,$H$8:$H$207,"Incentivo*")/VALOR_CAPTADO)</f>
        <v/>
      </c>
      <c r="Q143" s="21">
        <f>IF(AND(B143="",G143=""),"",IF(IF(AND(B143="",G143=""),"",IF(OR(E143="",F143=""),"🟡 Falta quantidade ou valor. ","")&amp;IF(H143="","🟡 Informe a fonte. ","")&amp;IF(K143="","🟡 Classifique a categoria de limite. ","")&amp;IF(TRIM(M143)="","🔴 Sem justificativa de vínculo: se não explica, não coloque. ","")&amp;IF(N143&lt;&gt;"Sim","🟡 Preço de mercado não conferido. ","")&amp;IF(O143="Sim","🔴 Possível DUPLA COBERTURA: a mesma despesa não pode ser paga duas vezes. ","")&amp;IF(AND(L143="Sim",K143&lt;&gt;"Remuneração do proponente"),"🟡 Pessoa vinculada: este valor SOMA no limite de remuneração do proponente. ","")&amp;IF(P143="","",IF(P143&gt;L_FORNECEDOR,"🔴 Fornecedor acima do limite sobre o valor captado (confira exceções). ",IF(P143&gt;=L_FORNECEDOR*MARGEM,"🟡 Fornecedor perto do limite. ","")))&amp;IF(AND(LEFT(K143,5)="Cachê",F143&lt;&gt;""),IF(F143&gt;IFERROR(VLOOKUP(K143,TAB_CATEGORIAS,2,FALSE),9E+99),"🔴 Cachê acima do limite: só com outras fontes ou apreciação da CNIC. ",""),"")&amp;IF(AND(LEFT(H143,6)="Outras",K143&lt;&gt;""),"🟡 Outras fontes: confirme que o recurso existe e está comprometido. ",""))="","🟢 CONFERIDO",IF(AND(B143="",G143=""),"",IF(OR(E143="",F143=""),"🟡 Falta quantidade ou valor. ","")&amp;IF(H143="","🟡 Informe a fonte. ","")&amp;IF(K143="","🟡 Classifique a categoria de limite. ","")&amp;IF(TRIM(M143)="","🔴 Sem justificativa de vínculo: se não explica, não coloque. ","")&amp;IF(N143&lt;&gt;"Sim","🟡 Preço de mercado não conferido. ","")&amp;IF(O143="Sim","🔴 Possível DUPLA COBERTURA: a mesma despesa não pode ser paga duas vezes. ","")&amp;IF(AND(L143="Sim",K143&lt;&gt;"Remuneração do proponente"),"🟡 Pessoa vinculada: este valor SOMA no limite de remuneração do proponente. ","")&amp;IF(P143="","",IF(P143&gt;L_FORNECEDOR,"🔴 Fornecedor acima do limite sobre o valor captado (confira exceções). ",IF(P143&gt;=L_FORNECEDOR*MARGEM,"🟡 Fornecedor perto do limite. ","")))&amp;IF(AND(LEFT(K143,5)="Cachê",F143&lt;&gt;""),IF(F143&gt;IFERROR(VLOOKUP(K143,TAB_CATEGORIAS,2,FALSE),9E+99),"🔴 Cachê acima do limite: só com outras fontes ou apreciação da CNIC. ",""),"")&amp;IF(AND(LEFT(H143,6)="Outras",K143&lt;&gt;""),"🟡 Outras fontes: confirme que o recurso existe e está comprometido. ",""))))</f>
        <v/>
      </c>
    </row>
    <row r="144">
      <c r="A144" s="20" t="n"/>
      <c r="B144" s="20" t="n"/>
      <c r="C144" s="20" t="n"/>
      <c r="D144" s="20" t="n"/>
      <c r="E144" s="20" t="n"/>
      <c r="F144" s="17" t="n"/>
      <c r="G144" s="26">
        <f>IF(OR(E144="",F144=""),"",E144*F144)</f>
        <v/>
      </c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7">
        <f>IF(OR(I144="",G144="",LEFT(H144,9)&lt;&gt;"Incentivo",VALOR_CAPTADO=0),"",SUMIFS($G$8:$G$207,$I$8:$I$207,I144,$H$8:$H$207,"Incentivo*")/VALOR_CAPTADO)</f>
        <v/>
      </c>
      <c r="Q144" s="21">
        <f>IF(AND(B144="",G144=""),"",IF(IF(AND(B144="",G144=""),"",IF(OR(E144="",F144=""),"🟡 Falta quantidade ou valor. ","")&amp;IF(H144="","🟡 Informe a fonte. ","")&amp;IF(K144="","🟡 Classifique a categoria de limite. ","")&amp;IF(TRIM(M144)="","🔴 Sem justificativa de vínculo: se não explica, não coloque. ","")&amp;IF(N144&lt;&gt;"Sim","🟡 Preço de mercado não conferido. ","")&amp;IF(O144="Sim","🔴 Possível DUPLA COBERTURA: a mesma despesa não pode ser paga duas vezes. ","")&amp;IF(AND(L144="Sim",K144&lt;&gt;"Remuneração do proponente"),"🟡 Pessoa vinculada: este valor SOMA no limite de remuneração do proponente. ","")&amp;IF(P144="","",IF(P144&gt;L_FORNECEDOR,"🔴 Fornecedor acima do limite sobre o valor captado (confira exceções). ",IF(P144&gt;=L_FORNECEDOR*MARGEM,"🟡 Fornecedor perto do limite. ","")))&amp;IF(AND(LEFT(K144,5)="Cachê",F144&lt;&gt;""),IF(F144&gt;IFERROR(VLOOKUP(K144,TAB_CATEGORIAS,2,FALSE),9E+99),"🔴 Cachê acima do limite: só com outras fontes ou apreciação da CNIC. ",""),"")&amp;IF(AND(LEFT(H144,6)="Outras",K144&lt;&gt;""),"🟡 Outras fontes: confirme que o recurso existe e está comprometido. ",""))="","🟢 CONFERIDO",IF(AND(B144="",G144=""),"",IF(OR(E144="",F144=""),"🟡 Falta quantidade ou valor. ","")&amp;IF(H144="","🟡 Informe a fonte. ","")&amp;IF(K144="","🟡 Classifique a categoria de limite. ","")&amp;IF(TRIM(M144)="","🔴 Sem justificativa de vínculo: se não explica, não coloque. ","")&amp;IF(N144&lt;&gt;"Sim","🟡 Preço de mercado não conferido. ","")&amp;IF(O144="Sim","🔴 Possível DUPLA COBERTURA: a mesma despesa não pode ser paga duas vezes. ","")&amp;IF(AND(L144="Sim",K144&lt;&gt;"Remuneração do proponente"),"🟡 Pessoa vinculada: este valor SOMA no limite de remuneração do proponente. ","")&amp;IF(P144="","",IF(P144&gt;L_FORNECEDOR,"🔴 Fornecedor acima do limite sobre o valor captado (confira exceções). ",IF(P144&gt;=L_FORNECEDOR*MARGEM,"🟡 Fornecedor perto do limite. ","")))&amp;IF(AND(LEFT(K144,5)="Cachê",F144&lt;&gt;""),IF(F144&gt;IFERROR(VLOOKUP(K144,TAB_CATEGORIAS,2,FALSE),9E+99),"🔴 Cachê acima do limite: só com outras fontes ou apreciação da CNIC. ",""),"")&amp;IF(AND(LEFT(H144,6)="Outras",K144&lt;&gt;""),"🟡 Outras fontes: confirme que o recurso existe e está comprometido. ",""))))</f>
        <v/>
      </c>
    </row>
    <row r="145">
      <c r="A145" s="20" t="n"/>
      <c r="B145" s="20" t="n"/>
      <c r="C145" s="20" t="n"/>
      <c r="D145" s="20" t="n"/>
      <c r="E145" s="20" t="n"/>
      <c r="F145" s="17" t="n"/>
      <c r="G145" s="26">
        <f>IF(OR(E145="",F145=""),"",E145*F145)</f>
        <v/>
      </c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7">
        <f>IF(OR(I145="",G145="",LEFT(H145,9)&lt;&gt;"Incentivo",VALOR_CAPTADO=0),"",SUMIFS($G$8:$G$207,$I$8:$I$207,I145,$H$8:$H$207,"Incentivo*")/VALOR_CAPTADO)</f>
        <v/>
      </c>
      <c r="Q145" s="21">
        <f>IF(AND(B145="",G145=""),"",IF(IF(AND(B145="",G145=""),"",IF(OR(E145="",F145=""),"🟡 Falta quantidade ou valor. ","")&amp;IF(H145="","🟡 Informe a fonte. ","")&amp;IF(K145="","🟡 Classifique a categoria de limite. ","")&amp;IF(TRIM(M145)="","🔴 Sem justificativa de vínculo: se não explica, não coloque. ","")&amp;IF(N145&lt;&gt;"Sim","🟡 Preço de mercado não conferido. ","")&amp;IF(O145="Sim","🔴 Possível DUPLA COBERTURA: a mesma despesa não pode ser paga duas vezes. ","")&amp;IF(AND(L145="Sim",K145&lt;&gt;"Remuneração do proponente"),"🟡 Pessoa vinculada: este valor SOMA no limite de remuneração do proponente. ","")&amp;IF(P145="","",IF(P145&gt;L_FORNECEDOR,"🔴 Fornecedor acima do limite sobre o valor captado (confira exceções). ",IF(P145&gt;=L_FORNECEDOR*MARGEM,"🟡 Fornecedor perto do limite. ","")))&amp;IF(AND(LEFT(K145,5)="Cachê",F145&lt;&gt;""),IF(F145&gt;IFERROR(VLOOKUP(K145,TAB_CATEGORIAS,2,FALSE),9E+99),"🔴 Cachê acima do limite: só com outras fontes ou apreciação da CNIC. ",""),"")&amp;IF(AND(LEFT(H145,6)="Outras",K145&lt;&gt;""),"🟡 Outras fontes: confirme que o recurso existe e está comprometido. ",""))="","🟢 CONFERIDO",IF(AND(B145="",G145=""),"",IF(OR(E145="",F145=""),"🟡 Falta quantidade ou valor. ","")&amp;IF(H145="","🟡 Informe a fonte. ","")&amp;IF(K145="","🟡 Classifique a categoria de limite. ","")&amp;IF(TRIM(M145)="","🔴 Sem justificativa de vínculo: se não explica, não coloque. ","")&amp;IF(N145&lt;&gt;"Sim","🟡 Preço de mercado não conferido. ","")&amp;IF(O145="Sim","🔴 Possível DUPLA COBERTURA: a mesma despesa não pode ser paga duas vezes. ","")&amp;IF(AND(L145="Sim",K145&lt;&gt;"Remuneração do proponente"),"🟡 Pessoa vinculada: este valor SOMA no limite de remuneração do proponente. ","")&amp;IF(P145="","",IF(P145&gt;L_FORNECEDOR,"🔴 Fornecedor acima do limite sobre o valor captado (confira exceções). ",IF(P145&gt;=L_FORNECEDOR*MARGEM,"🟡 Fornecedor perto do limite. ","")))&amp;IF(AND(LEFT(K145,5)="Cachê",F145&lt;&gt;""),IF(F145&gt;IFERROR(VLOOKUP(K145,TAB_CATEGORIAS,2,FALSE),9E+99),"🔴 Cachê acima do limite: só com outras fontes ou apreciação da CNIC. ",""),"")&amp;IF(AND(LEFT(H145,6)="Outras",K145&lt;&gt;""),"🟡 Outras fontes: confirme que o recurso existe e está comprometido. ",""))))</f>
        <v/>
      </c>
    </row>
    <row r="146">
      <c r="A146" s="20" t="n"/>
      <c r="B146" s="20" t="n"/>
      <c r="C146" s="20" t="n"/>
      <c r="D146" s="20" t="n"/>
      <c r="E146" s="20" t="n"/>
      <c r="F146" s="17" t="n"/>
      <c r="G146" s="26">
        <f>IF(OR(E146="",F146=""),"",E146*F146)</f>
        <v/>
      </c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7">
        <f>IF(OR(I146="",G146="",LEFT(H146,9)&lt;&gt;"Incentivo",VALOR_CAPTADO=0),"",SUMIFS($G$8:$G$207,$I$8:$I$207,I146,$H$8:$H$207,"Incentivo*")/VALOR_CAPTADO)</f>
        <v/>
      </c>
      <c r="Q146" s="21">
        <f>IF(AND(B146="",G146=""),"",IF(IF(AND(B146="",G146=""),"",IF(OR(E146="",F146=""),"🟡 Falta quantidade ou valor. ","")&amp;IF(H146="","🟡 Informe a fonte. ","")&amp;IF(K146="","🟡 Classifique a categoria de limite. ","")&amp;IF(TRIM(M146)="","🔴 Sem justificativa de vínculo: se não explica, não coloque. ","")&amp;IF(N146&lt;&gt;"Sim","🟡 Preço de mercado não conferido. ","")&amp;IF(O146="Sim","🔴 Possível DUPLA COBERTURA: a mesma despesa não pode ser paga duas vezes. ","")&amp;IF(AND(L146="Sim",K146&lt;&gt;"Remuneração do proponente"),"🟡 Pessoa vinculada: este valor SOMA no limite de remuneração do proponente. ","")&amp;IF(P146="","",IF(P146&gt;L_FORNECEDOR,"🔴 Fornecedor acima do limite sobre o valor captado (confira exceções). ",IF(P146&gt;=L_FORNECEDOR*MARGEM,"🟡 Fornecedor perto do limite. ","")))&amp;IF(AND(LEFT(K146,5)="Cachê",F146&lt;&gt;""),IF(F146&gt;IFERROR(VLOOKUP(K146,TAB_CATEGORIAS,2,FALSE),9E+99),"🔴 Cachê acima do limite: só com outras fontes ou apreciação da CNIC. ",""),"")&amp;IF(AND(LEFT(H146,6)="Outras",K146&lt;&gt;""),"🟡 Outras fontes: confirme que o recurso existe e está comprometido. ",""))="","🟢 CONFERIDO",IF(AND(B146="",G146=""),"",IF(OR(E146="",F146=""),"🟡 Falta quantidade ou valor. ","")&amp;IF(H146="","🟡 Informe a fonte. ","")&amp;IF(K146="","🟡 Classifique a categoria de limite. ","")&amp;IF(TRIM(M146)="","🔴 Sem justificativa de vínculo: se não explica, não coloque. ","")&amp;IF(N146&lt;&gt;"Sim","🟡 Preço de mercado não conferido. ","")&amp;IF(O146="Sim","🔴 Possível DUPLA COBERTURA: a mesma despesa não pode ser paga duas vezes. ","")&amp;IF(AND(L146="Sim",K146&lt;&gt;"Remuneração do proponente"),"🟡 Pessoa vinculada: este valor SOMA no limite de remuneração do proponente. ","")&amp;IF(P146="","",IF(P146&gt;L_FORNECEDOR,"🔴 Fornecedor acima do limite sobre o valor captado (confira exceções). ",IF(P146&gt;=L_FORNECEDOR*MARGEM,"🟡 Fornecedor perto do limite. ","")))&amp;IF(AND(LEFT(K146,5)="Cachê",F146&lt;&gt;""),IF(F146&gt;IFERROR(VLOOKUP(K146,TAB_CATEGORIAS,2,FALSE),9E+99),"🔴 Cachê acima do limite: só com outras fontes ou apreciação da CNIC. ",""),"")&amp;IF(AND(LEFT(H146,6)="Outras",K146&lt;&gt;""),"🟡 Outras fontes: confirme que o recurso existe e está comprometido. ",""))))</f>
        <v/>
      </c>
    </row>
    <row r="147">
      <c r="A147" s="20" t="n"/>
      <c r="B147" s="20" t="n"/>
      <c r="C147" s="20" t="n"/>
      <c r="D147" s="20" t="n"/>
      <c r="E147" s="20" t="n"/>
      <c r="F147" s="17" t="n"/>
      <c r="G147" s="26">
        <f>IF(OR(E147="",F147=""),"",E147*F147)</f>
        <v/>
      </c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7">
        <f>IF(OR(I147="",G147="",LEFT(H147,9)&lt;&gt;"Incentivo",VALOR_CAPTADO=0),"",SUMIFS($G$8:$G$207,$I$8:$I$207,I147,$H$8:$H$207,"Incentivo*")/VALOR_CAPTADO)</f>
        <v/>
      </c>
      <c r="Q147" s="21">
        <f>IF(AND(B147="",G147=""),"",IF(IF(AND(B147="",G147=""),"",IF(OR(E147="",F147=""),"🟡 Falta quantidade ou valor. ","")&amp;IF(H147="","🟡 Informe a fonte. ","")&amp;IF(K147="","🟡 Classifique a categoria de limite. ","")&amp;IF(TRIM(M147)="","🔴 Sem justificativa de vínculo: se não explica, não coloque. ","")&amp;IF(N147&lt;&gt;"Sim","🟡 Preço de mercado não conferido. ","")&amp;IF(O147="Sim","🔴 Possível DUPLA COBERTURA: a mesma despesa não pode ser paga duas vezes. ","")&amp;IF(AND(L147="Sim",K147&lt;&gt;"Remuneração do proponente"),"🟡 Pessoa vinculada: este valor SOMA no limite de remuneração do proponente. ","")&amp;IF(P147="","",IF(P147&gt;L_FORNECEDOR,"🔴 Fornecedor acima do limite sobre o valor captado (confira exceções). ",IF(P147&gt;=L_FORNECEDOR*MARGEM,"🟡 Fornecedor perto do limite. ","")))&amp;IF(AND(LEFT(K147,5)="Cachê",F147&lt;&gt;""),IF(F147&gt;IFERROR(VLOOKUP(K147,TAB_CATEGORIAS,2,FALSE),9E+99),"🔴 Cachê acima do limite: só com outras fontes ou apreciação da CNIC. ",""),"")&amp;IF(AND(LEFT(H147,6)="Outras",K147&lt;&gt;""),"🟡 Outras fontes: confirme que o recurso existe e está comprometido. ",""))="","🟢 CONFERIDO",IF(AND(B147="",G147=""),"",IF(OR(E147="",F147=""),"🟡 Falta quantidade ou valor. ","")&amp;IF(H147="","🟡 Informe a fonte. ","")&amp;IF(K147="","🟡 Classifique a categoria de limite. ","")&amp;IF(TRIM(M147)="","🔴 Sem justificativa de vínculo: se não explica, não coloque. ","")&amp;IF(N147&lt;&gt;"Sim","🟡 Preço de mercado não conferido. ","")&amp;IF(O147="Sim","🔴 Possível DUPLA COBERTURA: a mesma despesa não pode ser paga duas vezes. ","")&amp;IF(AND(L147="Sim",K147&lt;&gt;"Remuneração do proponente"),"🟡 Pessoa vinculada: este valor SOMA no limite de remuneração do proponente. ","")&amp;IF(P147="","",IF(P147&gt;L_FORNECEDOR,"🔴 Fornecedor acima do limite sobre o valor captado (confira exceções). ",IF(P147&gt;=L_FORNECEDOR*MARGEM,"🟡 Fornecedor perto do limite. ","")))&amp;IF(AND(LEFT(K147,5)="Cachê",F147&lt;&gt;""),IF(F147&gt;IFERROR(VLOOKUP(K147,TAB_CATEGORIAS,2,FALSE),9E+99),"🔴 Cachê acima do limite: só com outras fontes ou apreciação da CNIC. ",""),"")&amp;IF(AND(LEFT(H147,6)="Outras",K147&lt;&gt;""),"🟡 Outras fontes: confirme que o recurso existe e está comprometido. ",""))))</f>
        <v/>
      </c>
    </row>
    <row r="148">
      <c r="A148" s="20" t="n"/>
      <c r="B148" s="20" t="n"/>
      <c r="C148" s="20" t="n"/>
      <c r="D148" s="20" t="n"/>
      <c r="E148" s="20" t="n"/>
      <c r="F148" s="17" t="n"/>
      <c r="G148" s="26">
        <f>IF(OR(E148="",F148=""),"",E148*F148)</f>
        <v/>
      </c>
      <c r="H148" s="20" t="n"/>
      <c r="I148" s="20" t="n"/>
      <c r="J148" s="20" t="n"/>
      <c r="K148" s="20" t="n"/>
      <c r="L148" s="20" t="n"/>
      <c r="M148" s="20" t="n"/>
      <c r="N148" s="20" t="n"/>
      <c r="O148" s="20" t="n"/>
      <c r="P148" s="27">
        <f>IF(OR(I148="",G148="",LEFT(H148,9)&lt;&gt;"Incentivo",VALOR_CAPTADO=0),"",SUMIFS($G$8:$G$207,$I$8:$I$207,I148,$H$8:$H$207,"Incentivo*")/VALOR_CAPTADO)</f>
        <v/>
      </c>
      <c r="Q148" s="21">
        <f>IF(AND(B148="",G148=""),"",IF(IF(AND(B148="",G148=""),"",IF(OR(E148="",F148=""),"🟡 Falta quantidade ou valor. ","")&amp;IF(H148="","🟡 Informe a fonte. ","")&amp;IF(K148="","🟡 Classifique a categoria de limite. ","")&amp;IF(TRIM(M148)="","🔴 Sem justificativa de vínculo: se não explica, não coloque. ","")&amp;IF(N148&lt;&gt;"Sim","🟡 Preço de mercado não conferido. ","")&amp;IF(O148="Sim","🔴 Possível DUPLA COBERTURA: a mesma despesa não pode ser paga duas vezes. ","")&amp;IF(AND(L148="Sim",K148&lt;&gt;"Remuneração do proponente"),"🟡 Pessoa vinculada: este valor SOMA no limite de remuneração do proponente. ","")&amp;IF(P148="","",IF(P148&gt;L_FORNECEDOR,"🔴 Fornecedor acima do limite sobre o valor captado (confira exceções). ",IF(P148&gt;=L_FORNECEDOR*MARGEM,"🟡 Fornecedor perto do limite. ","")))&amp;IF(AND(LEFT(K148,5)="Cachê",F148&lt;&gt;""),IF(F148&gt;IFERROR(VLOOKUP(K148,TAB_CATEGORIAS,2,FALSE),9E+99),"🔴 Cachê acima do limite: só com outras fontes ou apreciação da CNIC. ",""),"")&amp;IF(AND(LEFT(H148,6)="Outras",K148&lt;&gt;""),"🟡 Outras fontes: confirme que o recurso existe e está comprometido. ",""))="","🟢 CONFERIDO",IF(AND(B148="",G148=""),"",IF(OR(E148="",F148=""),"🟡 Falta quantidade ou valor. ","")&amp;IF(H148="","🟡 Informe a fonte. ","")&amp;IF(K148="","🟡 Classifique a categoria de limite. ","")&amp;IF(TRIM(M148)="","🔴 Sem justificativa de vínculo: se não explica, não coloque. ","")&amp;IF(N148&lt;&gt;"Sim","🟡 Preço de mercado não conferido. ","")&amp;IF(O148="Sim","🔴 Possível DUPLA COBERTURA: a mesma despesa não pode ser paga duas vezes. ","")&amp;IF(AND(L148="Sim",K148&lt;&gt;"Remuneração do proponente"),"🟡 Pessoa vinculada: este valor SOMA no limite de remuneração do proponente. ","")&amp;IF(P148="","",IF(P148&gt;L_FORNECEDOR,"🔴 Fornecedor acima do limite sobre o valor captado (confira exceções). ",IF(P148&gt;=L_FORNECEDOR*MARGEM,"🟡 Fornecedor perto do limite. ","")))&amp;IF(AND(LEFT(K148,5)="Cachê",F148&lt;&gt;""),IF(F148&gt;IFERROR(VLOOKUP(K148,TAB_CATEGORIAS,2,FALSE),9E+99),"🔴 Cachê acima do limite: só com outras fontes ou apreciação da CNIC. ",""),"")&amp;IF(AND(LEFT(H148,6)="Outras",K148&lt;&gt;""),"🟡 Outras fontes: confirme que o recurso existe e está comprometido. ",""))))</f>
        <v/>
      </c>
    </row>
    <row r="149">
      <c r="A149" s="20" t="n"/>
      <c r="B149" s="20" t="n"/>
      <c r="C149" s="20" t="n"/>
      <c r="D149" s="20" t="n"/>
      <c r="E149" s="20" t="n"/>
      <c r="F149" s="17" t="n"/>
      <c r="G149" s="26">
        <f>IF(OR(E149="",F149=""),"",E149*F149)</f>
        <v/>
      </c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7">
        <f>IF(OR(I149="",G149="",LEFT(H149,9)&lt;&gt;"Incentivo",VALOR_CAPTADO=0),"",SUMIFS($G$8:$G$207,$I$8:$I$207,I149,$H$8:$H$207,"Incentivo*")/VALOR_CAPTADO)</f>
        <v/>
      </c>
      <c r="Q149" s="21">
        <f>IF(AND(B149="",G149=""),"",IF(IF(AND(B149="",G149=""),"",IF(OR(E149="",F149=""),"🟡 Falta quantidade ou valor. ","")&amp;IF(H149="","🟡 Informe a fonte. ","")&amp;IF(K149="","🟡 Classifique a categoria de limite. ","")&amp;IF(TRIM(M149)="","🔴 Sem justificativa de vínculo: se não explica, não coloque. ","")&amp;IF(N149&lt;&gt;"Sim","🟡 Preço de mercado não conferido. ","")&amp;IF(O149="Sim","🔴 Possível DUPLA COBERTURA: a mesma despesa não pode ser paga duas vezes. ","")&amp;IF(AND(L149="Sim",K149&lt;&gt;"Remuneração do proponente"),"🟡 Pessoa vinculada: este valor SOMA no limite de remuneração do proponente. ","")&amp;IF(P149="","",IF(P149&gt;L_FORNECEDOR,"🔴 Fornecedor acima do limite sobre o valor captado (confira exceções). ",IF(P149&gt;=L_FORNECEDOR*MARGEM,"🟡 Fornecedor perto do limite. ","")))&amp;IF(AND(LEFT(K149,5)="Cachê",F149&lt;&gt;""),IF(F149&gt;IFERROR(VLOOKUP(K149,TAB_CATEGORIAS,2,FALSE),9E+99),"🔴 Cachê acima do limite: só com outras fontes ou apreciação da CNIC. ",""),"")&amp;IF(AND(LEFT(H149,6)="Outras",K149&lt;&gt;""),"🟡 Outras fontes: confirme que o recurso existe e está comprometido. ",""))="","🟢 CONFERIDO",IF(AND(B149="",G149=""),"",IF(OR(E149="",F149=""),"🟡 Falta quantidade ou valor. ","")&amp;IF(H149="","🟡 Informe a fonte. ","")&amp;IF(K149="","🟡 Classifique a categoria de limite. ","")&amp;IF(TRIM(M149)="","🔴 Sem justificativa de vínculo: se não explica, não coloque. ","")&amp;IF(N149&lt;&gt;"Sim","🟡 Preço de mercado não conferido. ","")&amp;IF(O149="Sim","🔴 Possível DUPLA COBERTURA: a mesma despesa não pode ser paga duas vezes. ","")&amp;IF(AND(L149="Sim",K149&lt;&gt;"Remuneração do proponente"),"🟡 Pessoa vinculada: este valor SOMA no limite de remuneração do proponente. ","")&amp;IF(P149="","",IF(P149&gt;L_FORNECEDOR,"🔴 Fornecedor acima do limite sobre o valor captado (confira exceções). ",IF(P149&gt;=L_FORNECEDOR*MARGEM,"🟡 Fornecedor perto do limite. ","")))&amp;IF(AND(LEFT(K149,5)="Cachê",F149&lt;&gt;""),IF(F149&gt;IFERROR(VLOOKUP(K149,TAB_CATEGORIAS,2,FALSE),9E+99),"🔴 Cachê acima do limite: só com outras fontes ou apreciação da CNIC. ",""),"")&amp;IF(AND(LEFT(H149,6)="Outras",K149&lt;&gt;""),"🟡 Outras fontes: confirme que o recurso existe e está comprometido. ",""))))</f>
        <v/>
      </c>
    </row>
    <row r="150">
      <c r="A150" s="20" t="n"/>
      <c r="B150" s="20" t="n"/>
      <c r="C150" s="20" t="n"/>
      <c r="D150" s="20" t="n"/>
      <c r="E150" s="20" t="n"/>
      <c r="F150" s="17" t="n"/>
      <c r="G150" s="26">
        <f>IF(OR(E150="",F150=""),"",E150*F150)</f>
        <v/>
      </c>
      <c r="H150" s="20" t="n"/>
      <c r="I150" s="20" t="n"/>
      <c r="J150" s="20" t="n"/>
      <c r="K150" s="20" t="n"/>
      <c r="L150" s="20" t="n"/>
      <c r="M150" s="20" t="n"/>
      <c r="N150" s="20" t="n"/>
      <c r="O150" s="20" t="n"/>
      <c r="P150" s="27">
        <f>IF(OR(I150="",G150="",LEFT(H150,9)&lt;&gt;"Incentivo",VALOR_CAPTADO=0),"",SUMIFS($G$8:$G$207,$I$8:$I$207,I150,$H$8:$H$207,"Incentivo*")/VALOR_CAPTADO)</f>
        <v/>
      </c>
      <c r="Q150" s="21">
        <f>IF(AND(B150="",G150=""),"",IF(IF(AND(B150="",G150=""),"",IF(OR(E150="",F150=""),"🟡 Falta quantidade ou valor. ","")&amp;IF(H150="","🟡 Informe a fonte. ","")&amp;IF(K150="","🟡 Classifique a categoria de limite. ","")&amp;IF(TRIM(M150)="","🔴 Sem justificativa de vínculo: se não explica, não coloque. ","")&amp;IF(N150&lt;&gt;"Sim","🟡 Preço de mercado não conferido. ","")&amp;IF(O150="Sim","🔴 Possível DUPLA COBERTURA: a mesma despesa não pode ser paga duas vezes. ","")&amp;IF(AND(L150="Sim",K150&lt;&gt;"Remuneração do proponente"),"🟡 Pessoa vinculada: este valor SOMA no limite de remuneração do proponente. ","")&amp;IF(P150="","",IF(P150&gt;L_FORNECEDOR,"🔴 Fornecedor acima do limite sobre o valor captado (confira exceções). ",IF(P150&gt;=L_FORNECEDOR*MARGEM,"🟡 Fornecedor perto do limite. ","")))&amp;IF(AND(LEFT(K150,5)="Cachê",F150&lt;&gt;""),IF(F150&gt;IFERROR(VLOOKUP(K150,TAB_CATEGORIAS,2,FALSE),9E+99),"🔴 Cachê acima do limite: só com outras fontes ou apreciação da CNIC. ",""),"")&amp;IF(AND(LEFT(H150,6)="Outras",K150&lt;&gt;""),"🟡 Outras fontes: confirme que o recurso existe e está comprometido. ",""))="","🟢 CONFERIDO",IF(AND(B150="",G150=""),"",IF(OR(E150="",F150=""),"🟡 Falta quantidade ou valor. ","")&amp;IF(H150="","🟡 Informe a fonte. ","")&amp;IF(K150="","🟡 Classifique a categoria de limite. ","")&amp;IF(TRIM(M150)="","🔴 Sem justificativa de vínculo: se não explica, não coloque. ","")&amp;IF(N150&lt;&gt;"Sim","🟡 Preço de mercado não conferido. ","")&amp;IF(O150="Sim","🔴 Possível DUPLA COBERTURA: a mesma despesa não pode ser paga duas vezes. ","")&amp;IF(AND(L150="Sim",K150&lt;&gt;"Remuneração do proponente"),"🟡 Pessoa vinculada: este valor SOMA no limite de remuneração do proponente. ","")&amp;IF(P150="","",IF(P150&gt;L_FORNECEDOR,"🔴 Fornecedor acima do limite sobre o valor captado (confira exceções). ",IF(P150&gt;=L_FORNECEDOR*MARGEM,"🟡 Fornecedor perto do limite. ","")))&amp;IF(AND(LEFT(K150,5)="Cachê",F150&lt;&gt;""),IF(F150&gt;IFERROR(VLOOKUP(K150,TAB_CATEGORIAS,2,FALSE),9E+99),"🔴 Cachê acima do limite: só com outras fontes ou apreciação da CNIC. ",""),"")&amp;IF(AND(LEFT(H150,6)="Outras",K150&lt;&gt;""),"🟡 Outras fontes: confirme que o recurso existe e está comprometido. ",""))))</f>
        <v/>
      </c>
    </row>
    <row r="151">
      <c r="A151" s="20" t="n"/>
      <c r="B151" s="20" t="n"/>
      <c r="C151" s="20" t="n"/>
      <c r="D151" s="20" t="n"/>
      <c r="E151" s="20" t="n"/>
      <c r="F151" s="17" t="n"/>
      <c r="G151" s="26">
        <f>IF(OR(E151="",F151=""),"",E151*F151)</f>
        <v/>
      </c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7">
        <f>IF(OR(I151="",G151="",LEFT(H151,9)&lt;&gt;"Incentivo",VALOR_CAPTADO=0),"",SUMIFS($G$8:$G$207,$I$8:$I$207,I151,$H$8:$H$207,"Incentivo*")/VALOR_CAPTADO)</f>
        <v/>
      </c>
      <c r="Q151" s="21">
        <f>IF(AND(B151="",G151=""),"",IF(IF(AND(B151="",G151=""),"",IF(OR(E151="",F151=""),"🟡 Falta quantidade ou valor. ","")&amp;IF(H151="","🟡 Informe a fonte. ","")&amp;IF(K151="","🟡 Classifique a categoria de limite. ","")&amp;IF(TRIM(M151)="","🔴 Sem justificativa de vínculo: se não explica, não coloque. ","")&amp;IF(N151&lt;&gt;"Sim","🟡 Preço de mercado não conferido. ","")&amp;IF(O151="Sim","🔴 Possível DUPLA COBERTURA: a mesma despesa não pode ser paga duas vezes. ","")&amp;IF(AND(L151="Sim",K151&lt;&gt;"Remuneração do proponente"),"🟡 Pessoa vinculada: este valor SOMA no limite de remuneração do proponente. ","")&amp;IF(P151="","",IF(P151&gt;L_FORNECEDOR,"🔴 Fornecedor acima do limite sobre o valor captado (confira exceções). ",IF(P151&gt;=L_FORNECEDOR*MARGEM,"🟡 Fornecedor perto do limite. ","")))&amp;IF(AND(LEFT(K151,5)="Cachê",F151&lt;&gt;""),IF(F151&gt;IFERROR(VLOOKUP(K151,TAB_CATEGORIAS,2,FALSE),9E+99),"🔴 Cachê acima do limite: só com outras fontes ou apreciação da CNIC. ",""),"")&amp;IF(AND(LEFT(H151,6)="Outras",K151&lt;&gt;""),"🟡 Outras fontes: confirme que o recurso existe e está comprometido. ",""))="","🟢 CONFERIDO",IF(AND(B151="",G151=""),"",IF(OR(E151="",F151=""),"🟡 Falta quantidade ou valor. ","")&amp;IF(H151="","🟡 Informe a fonte. ","")&amp;IF(K151="","🟡 Classifique a categoria de limite. ","")&amp;IF(TRIM(M151)="","🔴 Sem justificativa de vínculo: se não explica, não coloque. ","")&amp;IF(N151&lt;&gt;"Sim","🟡 Preço de mercado não conferido. ","")&amp;IF(O151="Sim","🔴 Possível DUPLA COBERTURA: a mesma despesa não pode ser paga duas vezes. ","")&amp;IF(AND(L151="Sim",K151&lt;&gt;"Remuneração do proponente"),"🟡 Pessoa vinculada: este valor SOMA no limite de remuneração do proponente. ","")&amp;IF(P151="","",IF(P151&gt;L_FORNECEDOR,"🔴 Fornecedor acima do limite sobre o valor captado (confira exceções). ",IF(P151&gt;=L_FORNECEDOR*MARGEM,"🟡 Fornecedor perto do limite. ","")))&amp;IF(AND(LEFT(K151,5)="Cachê",F151&lt;&gt;""),IF(F151&gt;IFERROR(VLOOKUP(K151,TAB_CATEGORIAS,2,FALSE),9E+99),"🔴 Cachê acima do limite: só com outras fontes ou apreciação da CNIC. ",""),"")&amp;IF(AND(LEFT(H151,6)="Outras",K151&lt;&gt;""),"🟡 Outras fontes: confirme que o recurso existe e está comprometido. ",""))))</f>
        <v/>
      </c>
    </row>
    <row r="152">
      <c r="A152" s="20" t="n"/>
      <c r="B152" s="20" t="n"/>
      <c r="C152" s="20" t="n"/>
      <c r="D152" s="20" t="n"/>
      <c r="E152" s="20" t="n"/>
      <c r="F152" s="17" t="n"/>
      <c r="G152" s="26">
        <f>IF(OR(E152="",F152=""),"",E152*F152)</f>
        <v/>
      </c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27">
        <f>IF(OR(I152="",G152="",LEFT(H152,9)&lt;&gt;"Incentivo",VALOR_CAPTADO=0),"",SUMIFS($G$8:$G$207,$I$8:$I$207,I152,$H$8:$H$207,"Incentivo*")/VALOR_CAPTADO)</f>
        <v/>
      </c>
      <c r="Q152" s="21">
        <f>IF(AND(B152="",G152=""),"",IF(IF(AND(B152="",G152=""),"",IF(OR(E152="",F152=""),"🟡 Falta quantidade ou valor. ","")&amp;IF(H152="","🟡 Informe a fonte. ","")&amp;IF(K152="","🟡 Classifique a categoria de limite. ","")&amp;IF(TRIM(M152)="","🔴 Sem justificativa de vínculo: se não explica, não coloque. ","")&amp;IF(N152&lt;&gt;"Sim","🟡 Preço de mercado não conferido. ","")&amp;IF(O152="Sim","🔴 Possível DUPLA COBERTURA: a mesma despesa não pode ser paga duas vezes. ","")&amp;IF(AND(L152="Sim",K152&lt;&gt;"Remuneração do proponente"),"🟡 Pessoa vinculada: este valor SOMA no limite de remuneração do proponente. ","")&amp;IF(P152="","",IF(P152&gt;L_FORNECEDOR,"🔴 Fornecedor acima do limite sobre o valor captado (confira exceções). ",IF(P152&gt;=L_FORNECEDOR*MARGEM,"🟡 Fornecedor perto do limite. ","")))&amp;IF(AND(LEFT(K152,5)="Cachê",F152&lt;&gt;""),IF(F152&gt;IFERROR(VLOOKUP(K152,TAB_CATEGORIAS,2,FALSE),9E+99),"🔴 Cachê acima do limite: só com outras fontes ou apreciação da CNIC. ",""),"")&amp;IF(AND(LEFT(H152,6)="Outras",K152&lt;&gt;""),"🟡 Outras fontes: confirme que o recurso existe e está comprometido. ",""))="","🟢 CONFERIDO",IF(AND(B152="",G152=""),"",IF(OR(E152="",F152=""),"🟡 Falta quantidade ou valor. ","")&amp;IF(H152="","🟡 Informe a fonte. ","")&amp;IF(K152="","🟡 Classifique a categoria de limite. ","")&amp;IF(TRIM(M152)="","🔴 Sem justificativa de vínculo: se não explica, não coloque. ","")&amp;IF(N152&lt;&gt;"Sim","🟡 Preço de mercado não conferido. ","")&amp;IF(O152="Sim","🔴 Possível DUPLA COBERTURA: a mesma despesa não pode ser paga duas vezes. ","")&amp;IF(AND(L152="Sim",K152&lt;&gt;"Remuneração do proponente"),"🟡 Pessoa vinculada: este valor SOMA no limite de remuneração do proponente. ","")&amp;IF(P152="","",IF(P152&gt;L_FORNECEDOR,"🔴 Fornecedor acima do limite sobre o valor captado (confira exceções). ",IF(P152&gt;=L_FORNECEDOR*MARGEM,"🟡 Fornecedor perto do limite. ","")))&amp;IF(AND(LEFT(K152,5)="Cachê",F152&lt;&gt;""),IF(F152&gt;IFERROR(VLOOKUP(K152,TAB_CATEGORIAS,2,FALSE),9E+99),"🔴 Cachê acima do limite: só com outras fontes ou apreciação da CNIC. ",""),"")&amp;IF(AND(LEFT(H152,6)="Outras",K152&lt;&gt;""),"🟡 Outras fontes: confirme que o recurso existe e está comprometido. ",""))))</f>
        <v/>
      </c>
    </row>
    <row r="153">
      <c r="A153" s="20" t="n"/>
      <c r="B153" s="20" t="n"/>
      <c r="C153" s="20" t="n"/>
      <c r="D153" s="20" t="n"/>
      <c r="E153" s="20" t="n"/>
      <c r="F153" s="17" t="n"/>
      <c r="G153" s="26">
        <f>IF(OR(E153="",F153=""),"",E153*F153)</f>
        <v/>
      </c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7">
        <f>IF(OR(I153="",G153="",LEFT(H153,9)&lt;&gt;"Incentivo",VALOR_CAPTADO=0),"",SUMIFS($G$8:$G$207,$I$8:$I$207,I153,$H$8:$H$207,"Incentivo*")/VALOR_CAPTADO)</f>
        <v/>
      </c>
      <c r="Q153" s="21">
        <f>IF(AND(B153="",G153=""),"",IF(IF(AND(B153="",G153=""),"",IF(OR(E153="",F153=""),"🟡 Falta quantidade ou valor. ","")&amp;IF(H153="","🟡 Informe a fonte. ","")&amp;IF(K153="","🟡 Classifique a categoria de limite. ","")&amp;IF(TRIM(M153)="","🔴 Sem justificativa de vínculo: se não explica, não coloque. ","")&amp;IF(N153&lt;&gt;"Sim","🟡 Preço de mercado não conferido. ","")&amp;IF(O153="Sim","🔴 Possível DUPLA COBERTURA: a mesma despesa não pode ser paga duas vezes. ","")&amp;IF(AND(L153="Sim",K153&lt;&gt;"Remuneração do proponente"),"🟡 Pessoa vinculada: este valor SOMA no limite de remuneração do proponente. ","")&amp;IF(P153="","",IF(P153&gt;L_FORNECEDOR,"🔴 Fornecedor acima do limite sobre o valor captado (confira exceções). ",IF(P153&gt;=L_FORNECEDOR*MARGEM,"🟡 Fornecedor perto do limite. ","")))&amp;IF(AND(LEFT(K153,5)="Cachê",F153&lt;&gt;""),IF(F153&gt;IFERROR(VLOOKUP(K153,TAB_CATEGORIAS,2,FALSE),9E+99),"🔴 Cachê acima do limite: só com outras fontes ou apreciação da CNIC. ",""),"")&amp;IF(AND(LEFT(H153,6)="Outras",K153&lt;&gt;""),"🟡 Outras fontes: confirme que o recurso existe e está comprometido. ",""))="","🟢 CONFERIDO",IF(AND(B153="",G153=""),"",IF(OR(E153="",F153=""),"🟡 Falta quantidade ou valor. ","")&amp;IF(H153="","🟡 Informe a fonte. ","")&amp;IF(K153="","🟡 Classifique a categoria de limite. ","")&amp;IF(TRIM(M153)="","🔴 Sem justificativa de vínculo: se não explica, não coloque. ","")&amp;IF(N153&lt;&gt;"Sim","🟡 Preço de mercado não conferido. ","")&amp;IF(O153="Sim","🔴 Possível DUPLA COBERTURA: a mesma despesa não pode ser paga duas vezes. ","")&amp;IF(AND(L153="Sim",K153&lt;&gt;"Remuneração do proponente"),"🟡 Pessoa vinculada: este valor SOMA no limite de remuneração do proponente. ","")&amp;IF(P153="","",IF(P153&gt;L_FORNECEDOR,"🔴 Fornecedor acima do limite sobre o valor captado (confira exceções). ",IF(P153&gt;=L_FORNECEDOR*MARGEM,"🟡 Fornecedor perto do limite. ","")))&amp;IF(AND(LEFT(K153,5)="Cachê",F153&lt;&gt;""),IF(F153&gt;IFERROR(VLOOKUP(K153,TAB_CATEGORIAS,2,FALSE),9E+99),"🔴 Cachê acima do limite: só com outras fontes ou apreciação da CNIC. ",""),"")&amp;IF(AND(LEFT(H153,6)="Outras",K153&lt;&gt;""),"🟡 Outras fontes: confirme que o recurso existe e está comprometido. ",""))))</f>
        <v/>
      </c>
    </row>
    <row r="154">
      <c r="A154" s="20" t="n"/>
      <c r="B154" s="20" t="n"/>
      <c r="C154" s="20" t="n"/>
      <c r="D154" s="20" t="n"/>
      <c r="E154" s="20" t="n"/>
      <c r="F154" s="17" t="n"/>
      <c r="G154" s="26">
        <f>IF(OR(E154="",F154=""),"",E154*F154)</f>
        <v/>
      </c>
      <c r="H154" s="20" t="n"/>
      <c r="I154" s="20" t="n"/>
      <c r="J154" s="20" t="n"/>
      <c r="K154" s="20" t="n"/>
      <c r="L154" s="20" t="n"/>
      <c r="M154" s="20" t="n"/>
      <c r="N154" s="20" t="n"/>
      <c r="O154" s="20" t="n"/>
      <c r="P154" s="27">
        <f>IF(OR(I154="",G154="",LEFT(H154,9)&lt;&gt;"Incentivo",VALOR_CAPTADO=0),"",SUMIFS($G$8:$G$207,$I$8:$I$207,I154,$H$8:$H$207,"Incentivo*")/VALOR_CAPTADO)</f>
        <v/>
      </c>
      <c r="Q154" s="21">
        <f>IF(AND(B154="",G154=""),"",IF(IF(AND(B154="",G154=""),"",IF(OR(E154="",F154=""),"🟡 Falta quantidade ou valor. ","")&amp;IF(H154="","🟡 Informe a fonte. ","")&amp;IF(K154="","🟡 Classifique a categoria de limite. ","")&amp;IF(TRIM(M154)="","🔴 Sem justificativa de vínculo: se não explica, não coloque. ","")&amp;IF(N154&lt;&gt;"Sim","🟡 Preço de mercado não conferido. ","")&amp;IF(O154="Sim","🔴 Possível DUPLA COBERTURA: a mesma despesa não pode ser paga duas vezes. ","")&amp;IF(AND(L154="Sim",K154&lt;&gt;"Remuneração do proponente"),"🟡 Pessoa vinculada: este valor SOMA no limite de remuneração do proponente. ","")&amp;IF(P154="","",IF(P154&gt;L_FORNECEDOR,"🔴 Fornecedor acima do limite sobre o valor captado (confira exceções). ",IF(P154&gt;=L_FORNECEDOR*MARGEM,"🟡 Fornecedor perto do limite. ","")))&amp;IF(AND(LEFT(K154,5)="Cachê",F154&lt;&gt;""),IF(F154&gt;IFERROR(VLOOKUP(K154,TAB_CATEGORIAS,2,FALSE),9E+99),"🔴 Cachê acima do limite: só com outras fontes ou apreciação da CNIC. ",""),"")&amp;IF(AND(LEFT(H154,6)="Outras",K154&lt;&gt;""),"🟡 Outras fontes: confirme que o recurso existe e está comprometido. ",""))="","🟢 CONFERIDO",IF(AND(B154="",G154=""),"",IF(OR(E154="",F154=""),"🟡 Falta quantidade ou valor. ","")&amp;IF(H154="","🟡 Informe a fonte. ","")&amp;IF(K154="","🟡 Classifique a categoria de limite. ","")&amp;IF(TRIM(M154)="","🔴 Sem justificativa de vínculo: se não explica, não coloque. ","")&amp;IF(N154&lt;&gt;"Sim","🟡 Preço de mercado não conferido. ","")&amp;IF(O154="Sim","🔴 Possível DUPLA COBERTURA: a mesma despesa não pode ser paga duas vezes. ","")&amp;IF(AND(L154="Sim",K154&lt;&gt;"Remuneração do proponente"),"🟡 Pessoa vinculada: este valor SOMA no limite de remuneração do proponente. ","")&amp;IF(P154="","",IF(P154&gt;L_FORNECEDOR,"🔴 Fornecedor acima do limite sobre o valor captado (confira exceções). ",IF(P154&gt;=L_FORNECEDOR*MARGEM,"🟡 Fornecedor perto do limite. ","")))&amp;IF(AND(LEFT(K154,5)="Cachê",F154&lt;&gt;""),IF(F154&gt;IFERROR(VLOOKUP(K154,TAB_CATEGORIAS,2,FALSE),9E+99),"🔴 Cachê acima do limite: só com outras fontes ou apreciação da CNIC. ",""),"")&amp;IF(AND(LEFT(H154,6)="Outras",K154&lt;&gt;""),"🟡 Outras fontes: confirme que o recurso existe e está comprometido. ",""))))</f>
        <v/>
      </c>
    </row>
    <row r="155">
      <c r="A155" s="20" t="n"/>
      <c r="B155" s="20" t="n"/>
      <c r="C155" s="20" t="n"/>
      <c r="D155" s="20" t="n"/>
      <c r="E155" s="20" t="n"/>
      <c r="F155" s="17" t="n"/>
      <c r="G155" s="26">
        <f>IF(OR(E155="",F155=""),"",E155*F155)</f>
        <v/>
      </c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7">
        <f>IF(OR(I155="",G155="",LEFT(H155,9)&lt;&gt;"Incentivo",VALOR_CAPTADO=0),"",SUMIFS($G$8:$G$207,$I$8:$I$207,I155,$H$8:$H$207,"Incentivo*")/VALOR_CAPTADO)</f>
        <v/>
      </c>
      <c r="Q155" s="21">
        <f>IF(AND(B155="",G155=""),"",IF(IF(AND(B155="",G155=""),"",IF(OR(E155="",F155=""),"🟡 Falta quantidade ou valor. ","")&amp;IF(H155="","🟡 Informe a fonte. ","")&amp;IF(K155="","🟡 Classifique a categoria de limite. ","")&amp;IF(TRIM(M155)="","🔴 Sem justificativa de vínculo: se não explica, não coloque. ","")&amp;IF(N155&lt;&gt;"Sim","🟡 Preço de mercado não conferido. ","")&amp;IF(O155="Sim","🔴 Possível DUPLA COBERTURA: a mesma despesa não pode ser paga duas vezes. ","")&amp;IF(AND(L155="Sim",K155&lt;&gt;"Remuneração do proponente"),"🟡 Pessoa vinculada: este valor SOMA no limite de remuneração do proponente. ","")&amp;IF(P155="","",IF(P155&gt;L_FORNECEDOR,"🔴 Fornecedor acima do limite sobre o valor captado (confira exceções). ",IF(P155&gt;=L_FORNECEDOR*MARGEM,"🟡 Fornecedor perto do limite. ","")))&amp;IF(AND(LEFT(K155,5)="Cachê",F155&lt;&gt;""),IF(F155&gt;IFERROR(VLOOKUP(K155,TAB_CATEGORIAS,2,FALSE),9E+99),"🔴 Cachê acima do limite: só com outras fontes ou apreciação da CNIC. ",""),"")&amp;IF(AND(LEFT(H155,6)="Outras",K155&lt;&gt;""),"🟡 Outras fontes: confirme que o recurso existe e está comprometido. ",""))="","🟢 CONFERIDO",IF(AND(B155="",G155=""),"",IF(OR(E155="",F155=""),"🟡 Falta quantidade ou valor. ","")&amp;IF(H155="","🟡 Informe a fonte. ","")&amp;IF(K155="","🟡 Classifique a categoria de limite. ","")&amp;IF(TRIM(M155)="","🔴 Sem justificativa de vínculo: se não explica, não coloque. ","")&amp;IF(N155&lt;&gt;"Sim","🟡 Preço de mercado não conferido. ","")&amp;IF(O155="Sim","🔴 Possível DUPLA COBERTURA: a mesma despesa não pode ser paga duas vezes. ","")&amp;IF(AND(L155="Sim",K155&lt;&gt;"Remuneração do proponente"),"🟡 Pessoa vinculada: este valor SOMA no limite de remuneração do proponente. ","")&amp;IF(P155="","",IF(P155&gt;L_FORNECEDOR,"🔴 Fornecedor acima do limite sobre o valor captado (confira exceções). ",IF(P155&gt;=L_FORNECEDOR*MARGEM,"🟡 Fornecedor perto do limite. ","")))&amp;IF(AND(LEFT(K155,5)="Cachê",F155&lt;&gt;""),IF(F155&gt;IFERROR(VLOOKUP(K155,TAB_CATEGORIAS,2,FALSE),9E+99),"🔴 Cachê acima do limite: só com outras fontes ou apreciação da CNIC. ",""),"")&amp;IF(AND(LEFT(H155,6)="Outras",K155&lt;&gt;""),"🟡 Outras fontes: confirme que o recurso existe e está comprometido. ",""))))</f>
        <v/>
      </c>
    </row>
    <row r="156">
      <c r="A156" s="20" t="n"/>
      <c r="B156" s="20" t="n"/>
      <c r="C156" s="20" t="n"/>
      <c r="D156" s="20" t="n"/>
      <c r="E156" s="20" t="n"/>
      <c r="F156" s="17" t="n"/>
      <c r="G156" s="26">
        <f>IF(OR(E156="",F156=""),"",E156*F156)</f>
        <v/>
      </c>
      <c r="H156" s="20" t="n"/>
      <c r="I156" s="20" t="n"/>
      <c r="J156" s="20" t="n"/>
      <c r="K156" s="20" t="n"/>
      <c r="L156" s="20" t="n"/>
      <c r="M156" s="20" t="n"/>
      <c r="N156" s="20" t="n"/>
      <c r="O156" s="20" t="n"/>
      <c r="P156" s="27">
        <f>IF(OR(I156="",G156="",LEFT(H156,9)&lt;&gt;"Incentivo",VALOR_CAPTADO=0),"",SUMIFS($G$8:$G$207,$I$8:$I$207,I156,$H$8:$H$207,"Incentivo*")/VALOR_CAPTADO)</f>
        <v/>
      </c>
      <c r="Q156" s="21">
        <f>IF(AND(B156="",G156=""),"",IF(IF(AND(B156="",G156=""),"",IF(OR(E156="",F156=""),"🟡 Falta quantidade ou valor. ","")&amp;IF(H156="","🟡 Informe a fonte. ","")&amp;IF(K156="","🟡 Classifique a categoria de limite. ","")&amp;IF(TRIM(M156)="","🔴 Sem justificativa de vínculo: se não explica, não coloque. ","")&amp;IF(N156&lt;&gt;"Sim","🟡 Preço de mercado não conferido. ","")&amp;IF(O156="Sim","🔴 Possível DUPLA COBERTURA: a mesma despesa não pode ser paga duas vezes. ","")&amp;IF(AND(L156="Sim",K156&lt;&gt;"Remuneração do proponente"),"🟡 Pessoa vinculada: este valor SOMA no limite de remuneração do proponente. ","")&amp;IF(P156="","",IF(P156&gt;L_FORNECEDOR,"🔴 Fornecedor acima do limite sobre o valor captado (confira exceções). ",IF(P156&gt;=L_FORNECEDOR*MARGEM,"🟡 Fornecedor perto do limite. ","")))&amp;IF(AND(LEFT(K156,5)="Cachê",F156&lt;&gt;""),IF(F156&gt;IFERROR(VLOOKUP(K156,TAB_CATEGORIAS,2,FALSE),9E+99),"🔴 Cachê acima do limite: só com outras fontes ou apreciação da CNIC. ",""),"")&amp;IF(AND(LEFT(H156,6)="Outras",K156&lt;&gt;""),"🟡 Outras fontes: confirme que o recurso existe e está comprometido. ",""))="","🟢 CONFERIDO",IF(AND(B156="",G156=""),"",IF(OR(E156="",F156=""),"🟡 Falta quantidade ou valor. ","")&amp;IF(H156="","🟡 Informe a fonte. ","")&amp;IF(K156="","🟡 Classifique a categoria de limite. ","")&amp;IF(TRIM(M156)="","🔴 Sem justificativa de vínculo: se não explica, não coloque. ","")&amp;IF(N156&lt;&gt;"Sim","🟡 Preço de mercado não conferido. ","")&amp;IF(O156="Sim","🔴 Possível DUPLA COBERTURA: a mesma despesa não pode ser paga duas vezes. ","")&amp;IF(AND(L156="Sim",K156&lt;&gt;"Remuneração do proponente"),"🟡 Pessoa vinculada: este valor SOMA no limite de remuneração do proponente. ","")&amp;IF(P156="","",IF(P156&gt;L_FORNECEDOR,"🔴 Fornecedor acima do limite sobre o valor captado (confira exceções). ",IF(P156&gt;=L_FORNECEDOR*MARGEM,"🟡 Fornecedor perto do limite. ","")))&amp;IF(AND(LEFT(K156,5)="Cachê",F156&lt;&gt;""),IF(F156&gt;IFERROR(VLOOKUP(K156,TAB_CATEGORIAS,2,FALSE),9E+99),"🔴 Cachê acima do limite: só com outras fontes ou apreciação da CNIC. ",""),"")&amp;IF(AND(LEFT(H156,6)="Outras",K156&lt;&gt;""),"🟡 Outras fontes: confirme que o recurso existe e está comprometido. ",""))))</f>
        <v/>
      </c>
    </row>
    <row r="157">
      <c r="A157" s="20" t="n"/>
      <c r="B157" s="20" t="n"/>
      <c r="C157" s="20" t="n"/>
      <c r="D157" s="20" t="n"/>
      <c r="E157" s="20" t="n"/>
      <c r="F157" s="17" t="n"/>
      <c r="G157" s="26">
        <f>IF(OR(E157="",F157=""),"",E157*F157)</f>
        <v/>
      </c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7">
        <f>IF(OR(I157="",G157="",LEFT(H157,9)&lt;&gt;"Incentivo",VALOR_CAPTADO=0),"",SUMIFS($G$8:$G$207,$I$8:$I$207,I157,$H$8:$H$207,"Incentivo*")/VALOR_CAPTADO)</f>
        <v/>
      </c>
      <c r="Q157" s="21">
        <f>IF(AND(B157="",G157=""),"",IF(IF(AND(B157="",G157=""),"",IF(OR(E157="",F157=""),"🟡 Falta quantidade ou valor. ","")&amp;IF(H157="","🟡 Informe a fonte. ","")&amp;IF(K157="","🟡 Classifique a categoria de limite. ","")&amp;IF(TRIM(M157)="","🔴 Sem justificativa de vínculo: se não explica, não coloque. ","")&amp;IF(N157&lt;&gt;"Sim","🟡 Preço de mercado não conferido. ","")&amp;IF(O157="Sim","🔴 Possível DUPLA COBERTURA: a mesma despesa não pode ser paga duas vezes. ","")&amp;IF(AND(L157="Sim",K157&lt;&gt;"Remuneração do proponente"),"🟡 Pessoa vinculada: este valor SOMA no limite de remuneração do proponente. ","")&amp;IF(P157="","",IF(P157&gt;L_FORNECEDOR,"🔴 Fornecedor acima do limite sobre o valor captado (confira exceções). ",IF(P157&gt;=L_FORNECEDOR*MARGEM,"🟡 Fornecedor perto do limite. ","")))&amp;IF(AND(LEFT(K157,5)="Cachê",F157&lt;&gt;""),IF(F157&gt;IFERROR(VLOOKUP(K157,TAB_CATEGORIAS,2,FALSE),9E+99),"🔴 Cachê acima do limite: só com outras fontes ou apreciação da CNIC. ",""),"")&amp;IF(AND(LEFT(H157,6)="Outras",K157&lt;&gt;""),"🟡 Outras fontes: confirme que o recurso existe e está comprometido. ",""))="","🟢 CONFERIDO",IF(AND(B157="",G157=""),"",IF(OR(E157="",F157=""),"🟡 Falta quantidade ou valor. ","")&amp;IF(H157="","🟡 Informe a fonte. ","")&amp;IF(K157="","🟡 Classifique a categoria de limite. ","")&amp;IF(TRIM(M157)="","🔴 Sem justificativa de vínculo: se não explica, não coloque. ","")&amp;IF(N157&lt;&gt;"Sim","🟡 Preço de mercado não conferido. ","")&amp;IF(O157="Sim","🔴 Possível DUPLA COBERTURA: a mesma despesa não pode ser paga duas vezes. ","")&amp;IF(AND(L157="Sim",K157&lt;&gt;"Remuneração do proponente"),"🟡 Pessoa vinculada: este valor SOMA no limite de remuneração do proponente. ","")&amp;IF(P157="","",IF(P157&gt;L_FORNECEDOR,"🔴 Fornecedor acima do limite sobre o valor captado (confira exceções). ",IF(P157&gt;=L_FORNECEDOR*MARGEM,"🟡 Fornecedor perto do limite. ","")))&amp;IF(AND(LEFT(K157,5)="Cachê",F157&lt;&gt;""),IF(F157&gt;IFERROR(VLOOKUP(K157,TAB_CATEGORIAS,2,FALSE),9E+99),"🔴 Cachê acima do limite: só com outras fontes ou apreciação da CNIC. ",""),"")&amp;IF(AND(LEFT(H157,6)="Outras",K157&lt;&gt;""),"🟡 Outras fontes: confirme que o recurso existe e está comprometido. ",""))))</f>
        <v/>
      </c>
    </row>
    <row r="158">
      <c r="A158" s="20" t="n"/>
      <c r="B158" s="20" t="n"/>
      <c r="C158" s="20" t="n"/>
      <c r="D158" s="20" t="n"/>
      <c r="E158" s="20" t="n"/>
      <c r="F158" s="17" t="n"/>
      <c r="G158" s="26">
        <f>IF(OR(E158="",F158=""),"",E158*F158)</f>
        <v/>
      </c>
      <c r="H158" s="20" t="n"/>
      <c r="I158" s="20" t="n"/>
      <c r="J158" s="20" t="n"/>
      <c r="K158" s="20" t="n"/>
      <c r="L158" s="20" t="n"/>
      <c r="M158" s="20" t="n"/>
      <c r="N158" s="20" t="n"/>
      <c r="O158" s="20" t="n"/>
      <c r="P158" s="27">
        <f>IF(OR(I158="",G158="",LEFT(H158,9)&lt;&gt;"Incentivo",VALOR_CAPTADO=0),"",SUMIFS($G$8:$G$207,$I$8:$I$207,I158,$H$8:$H$207,"Incentivo*")/VALOR_CAPTADO)</f>
        <v/>
      </c>
      <c r="Q158" s="21">
        <f>IF(AND(B158="",G158=""),"",IF(IF(AND(B158="",G158=""),"",IF(OR(E158="",F158=""),"🟡 Falta quantidade ou valor. ","")&amp;IF(H158="","🟡 Informe a fonte. ","")&amp;IF(K158="","🟡 Classifique a categoria de limite. ","")&amp;IF(TRIM(M158)="","🔴 Sem justificativa de vínculo: se não explica, não coloque. ","")&amp;IF(N158&lt;&gt;"Sim","🟡 Preço de mercado não conferido. ","")&amp;IF(O158="Sim","🔴 Possível DUPLA COBERTURA: a mesma despesa não pode ser paga duas vezes. ","")&amp;IF(AND(L158="Sim",K158&lt;&gt;"Remuneração do proponente"),"🟡 Pessoa vinculada: este valor SOMA no limite de remuneração do proponente. ","")&amp;IF(P158="","",IF(P158&gt;L_FORNECEDOR,"🔴 Fornecedor acima do limite sobre o valor captado (confira exceções). ",IF(P158&gt;=L_FORNECEDOR*MARGEM,"🟡 Fornecedor perto do limite. ","")))&amp;IF(AND(LEFT(K158,5)="Cachê",F158&lt;&gt;""),IF(F158&gt;IFERROR(VLOOKUP(K158,TAB_CATEGORIAS,2,FALSE),9E+99),"🔴 Cachê acima do limite: só com outras fontes ou apreciação da CNIC. ",""),"")&amp;IF(AND(LEFT(H158,6)="Outras",K158&lt;&gt;""),"🟡 Outras fontes: confirme que o recurso existe e está comprometido. ",""))="","🟢 CONFERIDO",IF(AND(B158="",G158=""),"",IF(OR(E158="",F158=""),"🟡 Falta quantidade ou valor. ","")&amp;IF(H158="","🟡 Informe a fonte. ","")&amp;IF(K158="","🟡 Classifique a categoria de limite. ","")&amp;IF(TRIM(M158)="","🔴 Sem justificativa de vínculo: se não explica, não coloque. ","")&amp;IF(N158&lt;&gt;"Sim","🟡 Preço de mercado não conferido. ","")&amp;IF(O158="Sim","🔴 Possível DUPLA COBERTURA: a mesma despesa não pode ser paga duas vezes. ","")&amp;IF(AND(L158="Sim",K158&lt;&gt;"Remuneração do proponente"),"🟡 Pessoa vinculada: este valor SOMA no limite de remuneração do proponente. ","")&amp;IF(P158="","",IF(P158&gt;L_FORNECEDOR,"🔴 Fornecedor acima do limite sobre o valor captado (confira exceções). ",IF(P158&gt;=L_FORNECEDOR*MARGEM,"🟡 Fornecedor perto do limite. ","")))&amp;IF(AND(LEFT(K158,5)="Cachê",F158&lt;&gt;""),IF(F158&gt;IFERROR(VLOOKUP(K158,TAB_CATEGORIAS,2,FALSE),9E+99),"🔴 Cachê acima do limite: só com outras fontes ou apreciação da CNIC. ",""),"")&amp;IF(AND(LEFT(H158,6)="Outras",K158&lt;&gt;""),"🟡 Outras fontes: confirme que o recurso existe e está comprometido. ",""))))</f>
        <v/>
      </c>
    </row>
    <row r="159">
      <c r="A159" s="20" t="n"/>
      <c r="B159" s="20" t="n"/>
      <c r="C159" s="20" t="n"/>
      <c r="D159" s="20" t="n"/>
      <c r="E159" s="20" t="n"/>
      <c r="F159" s="17" t="n"/>
      <c r="G159" s="26">
        <f>IF(OR(E159="",F159=""),"",E159*F159)</f>
        <v/>
      </c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7">
        <f>IF(OR(I159="",G159="",LEFT(H159,9)&lt;&gt;"Incentivo",VALOR_CAPTADO=0),"",SUMIFS($G$8:$G$207,$I$8:$I$207,I159,$H$8:$H$207,"Incentivo*")/VALOR_CAPTADO)</f>
        <v/>
      </c>
      <c r="Q159" s="21">
        <f>IF(AND(B159="",G159=""),"",IF(IF(AND(B159="",G159=""),"",IF(OR(E159="",F159=""),"🟡 Falta quantidade ou valor. ","")&amp;IF(H159="","🟡 Informe a fonte. ","")&amp;IF(K159="","🟡 Classifique a categoria de limite. ","")&amp;IF(TRIM(M159)="","🔴 Sem justificativa de vínculo: se não explica, não coloque. ","")&amp;IF(N159&lt;&gt;"Sim","🟡 Preço de mercado não conferido. ","")&amp;IF(O159="Sim","🔴 Possível DUPLA COBERTURA: a mesma despesa não pode ser paga duas vezes. ","")&amp;IF(AND(L159="Sim",K159&lt;&gt;"Remuneração do proponente"),"🟡 Pessoa vinculada: este valor SOMA no limite de remuneração do proponente. ","")&amp;IF(P159="","",IF(P159&gt;L_FORNECEDOR,"🔴 Fornecedor acima do limite sobre o valor captado (confira exceções). ",IF(P159&gt;=L_FORNECEDOR*MARGEM,"🟡 Fornecedor perto do limite. ","")))&amp;IF(AND(LEFT(K159,5)="Cachê",F159&lt;&gt;""),IF(F159&gt;IFERROR(VLOOKUP(K159,TAB_CATEGORIAS,2,FALSE),9E+99),"🔴 Cachê acima do limite: só com outras fontes ou apreciação da CNIC. ",""),"")&amp;IF(AND(LEFT(H159,6)="Outras",K159&lt;&gt;""),"🟡 Outras fontes: confirme que o recurso existe e está comprometido. ",""))="","🟢 CONFERIDO",IF(AND(B159="",G159=""),"",IF(OR(E159="",F159=""),"🟡 Falta quantidade ou valor. ","")&amp;IF(H159="","🟡 Informe a fonte. ","")&amp;IF(K159="","🟡 Classifique a categoria de limite. ","")&amp;IF(TRIM(M159)="","🔴 Sem justificativa de vínculo: se não explica, não coloque. ","")&amp;IF(N159&lt;&gt;"Sim","🟡 Preço de mercado não conferido. ","")&amp;IF(O159="Sim","🔴 Possível DUPLA COBERTURA: a mesma despesa não pode ser paga duas vezes. ","")&amp;IF(AND(L159="Sim",K159&lt;&gt;"Remuneração do proponente"),"🟡 Pessoa vinculada: este valor SOMA no limite de remuneração do proponente. ","")&amp;IF(P159="","",IF(P159&gt;L_FORNECEDOR,"🔴 Fornecedor acima do limite sobre o valor captado (confira exceções). ",IF(P159&gt;=L_FORNECEDOR*MARGEM,"🟡 Fornecedor perto do limite. ","")))&amp;IF(AND(LEFT(K159,5)="Cachê",F159&lt;&gt;""),IF(F159&gt;IFERROR(VLOOKUP(K159,TAB_CATEGORIAS,2,FALSE),9E+99),"🔴 Cachê acima do limite: só com outras fontes ou apreciação da CNIC. ",""),"")&amp;IF(AND(LEFT(H159,6)="Outras",K159&lt;&gt;""),"🟡 Outras fontes: confirme que o recurso existe e está comprometido. ",""))))</f>
        <v/>
      </c>
    </row>
    <row r="160">
      <c r="A160" s="20" t="n"/>
      <c r="B160" s="20" t="n"/>
      <c r="C160" s="20" t="n"/>
      <c r="D160" s="20" t="n"/>
      <c r="E160" s="20" t="n"/>
      <c r="F160" s="17" t="n"/>
      <c r="G160" s="26">
        <f>IF(OR(E160="",F160=""),"",E160*F160)</f>
        <v/>
      </c>
      <c r="H160" s="20" t="n"/>
      <c r="I160" s="20" t="n"/>
      <c r="J160" s="20" t="n"/>
      <c r="K160" s="20" t="n"/>
      <c r="L160" s="20" t="n"/>
      <c r="M160" s="20" t="n"/>
      <c r="N160" s="20" t="n"/>
      <c r="O160" s="20" t="n"/>
      <c r="P160" s="27">
        <f>IF(OR(I160="",G160="",LEFT(H160,9)&lt;&gt;"Incentivo",VALOR_CAPTADO=0),"",SUMIFS($G$8:$G$207,$I$8:$I$207,I160,$H$8:$H$207,"Incentivo*")/VALOR_CAPTADO)</f>
        <v/>
      </c>
      <c r="Q160" s="21">
        <f>IF(AND(B160="",G160=""),"",IF(IF(AND(B160="",G160=""),"",IF(OR(E160="",F160=""),"🟡 Falta quantidade ou valor. ","")&amp;IF(H160="","🟡 Informe a fonte. ","")&amp;IF(K160="","🟡 Classifique a categoria de limite. ","")&amp;IF(TRIM(M160)="","🔴 Sem justificativa de vínculo: se não explica, não coloque. ","")&amp;IF(N160&lt;&gt;"Sim","🟡 Preço de mercado não conferido. ","")&amp;IF(O160="Sim","🔴 Possível DUPLA COBERTURA: a mesma despesa não pode ser paga duas vezes. ","")&amp;IF(AND(L160="Sim",K160&lt;&gt;"Remuneração do proponente"),"🟡 Pessoa vinculada: este valor SOMA no limite de remuneração do proponente. ","")&amp;IF(P160="","",IF(P160&gt;L_FORNECEDOR,"🔴 Fornecedor acima do limite sobre o valor captado (confira exceções). ",IF(P160&gt;=L_FORNECEDOR*MARGEM,"🟡 Fornecedor perto do limite. ","")))&amp;IF(AND(LEFT(K160,5)="Cachê",F160&lt;&gt;""),IF(F160&gt;IFERROR(VLOOKUP(K160,TAB_CATEGORIAS,2,FALSE),9E+99),"🔴 Cachê acima do limite: só com outras fontes ou apreciação da CNIC. ",""),"")&amp;IF(AND(LEFT(H160,6)="Outras",K160&lt;&gt;""),"🟡 Outras fontes: confirme que o recurso existe e está comprometido. ",""))="","🟢 CONFERIDO",IF(AND(B160="",G160=""),"",IF(OR(E160="",F160=""),"🟡 Falta quantidade ou valor. ","")&amp;IF(H160="","🟡 Informe a fonte. ","")&amp;IF(K160="","🟡 Classifique a categoria de limite. ","")&amp;IF(TRIM(M160)="","🔴 Sem justificativa de vínculo: se não explica, não coloque. ","")&amp;IF(N160&lt;&gt;"Sim","🟡 Preço de mercado não conferido. ","")&amp;IF(O160="Sim","🔴 Possível DUPLA COBERTURA: a mesma despesa não pode ser paga duas vezes. ","")&amp;IF(AND(L160="Sim",K160&lt;&gt;"Remuneração do proponente"),"🟡 Pessoa vinculada: este valor SOMA no limite de remuneração do proponente. ","")&amp;IF(P160="","",IF(P160&gt;L_FORNECEDOR,"🔴 Fornecedor acima do limite sobre o valor captado (confira exceções). ",IF(P160&gt;=L_FORNECEDOR*MARGEM,"🟡 Fornecedor perto do limite. ","")))&amp;IF(AND(LEFT(K160,5)="Cachê",F160&lt;&gt;""),IF(F160&gt;IFERROR(VLOOKUP(K160,TAB_CATEGORIAS,2,FALSE),9E+99),"🔴 Cachê acima do limite: só com outras fontes ou apreciação da CNIC. ",""),"")&amp;IF(AND(LEFT(H160,6)="Outras",K160&lt;&gt;""),"🟡 Outras fontes: confirme que o recurso existe e está comprometido. ",""))))</f>
        <v/>
      </c>
    </row>
    <row r="161">
      <c r="A161" s="20" t="n"/>
      <c r="B161" s="20" t="n"/>
      <c r="C161" s="20" t="n"/>
      <c r="D161" s="20" t="n"/>
      <c r="E161" s="20" t="n"/>
      <c r="F161" s="17" t="n"/>
      <c r="G161" s="26">
        <f>IF(OR(E161="",F161=""),"",E161*F161)</f>
        <v/>
      </c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7">
        <f>IF(OR(I161="",G161="",LEFT(H161,9)&lt;&gt;"Incentivo",VALOR_CAPTADO=0),"",SUMIFS($G$8:$G$207,$I$8:$I$207,I161,$H$8:$H$207,"Incentivo*")/VALOR_CAPTADO)</f>
        <v/>
      </c>
      <c r="Q161" s="21">
        <f>IF(AND(B161="",G161=""),"",IF(IF(AND(B161="",G161=""),"",IF(OR(E161="",F161=""),"🟡 Falta quantidade ou valor. ","")&amp;IF(H161="","🟡 Informe a fonte. ","")&amp;IF(K161="","🟡 Classifique a categoria de limite. ","")&amp;IF(TRIM(M161)="","🔴 Sem justificativa de vínculo: se não explica, não coloque. ","")&amp;IF(N161&lt;&gt;"Sim","🟡 Preço de mercado não conferido. ","")&amp;IF(O161="Sim","🔴 Possível DUPLA COBERTURA: a mesma despesa não pode ser paga duas vezes. ","")&amp;IF(AND(L161="Sim",K161&lt;&gt;"Remuneração do proponente"),"🟡 Pessoa vinculada: este valor SOMA no limite de remuneração do proponente. ","")&amp;IF(P161="","",IF(P161&gt;L_FORNECEDOR,"🔴 Fornecedor acima do limite sobre o valor captado (confira exceções). ",IF(P161&gt;=L_FORNECEDOR*MARGEM,"🟡 Fornecedor perto do limite. ","")))&amp;IF(AND(LEFT(K161,5)="Cachê",F161&lt;&gt;""),IF(F161&gt;IFERROR(VLOOKUP(K161,TAB_CATEGORIAS,2,FALSE),9E+99),"🔴 Cachê acima do limite: só com outras fontes ou apreciação da CNIC. ",""),"")&amp;IF(AND(LEFT(H161,6)="Outras",K161&lt;&gt;""),"🟡 Outras fontes: confirme que o recurso existe e está comprometido. ",""))="","🟢 CONFERIDO",IF(AND(B161="",G161=""),"",IF(OR(E161="",F161=""),"🟡 Falta quantidade ou valor. ","")&amp;IF(H161="","🟡 Informe a fonte. ","")&amp;IF(K161="","🟡 Classifique a categoria de limite. ","")&amp;IF(TRIM(M161)="","🔴 Sem justificativa de vínculo: se não explica, não coloque. ","")&amp;IF(N161&lt;&gt;"Sim","🟡 Preço de mercado não conferido. ","")&amp;IF(O161="Sim","🔴 Possível DUPLA COBERTURA: a mesma despesa não pode ser paga duas vezes. ","")&amp;IF(AND(L161="Sim",K161&lt;&gt;"Remuneração do proponente"),"🟡 Pessoa vinculada: este valor SOMA no limite de remuneração do proponente. ","")&amp;IF(P161="","",IF(P161&gt;L_FORNECEDOR,"🔴 Fornecedor acima do limite sobre o valor captado (confira exceções). ",IF(P161&gt;=L_FORNECEDOR*MARGEM,"🟡 Fornecedor perto do limite. ","")))&amp;IF(AND(LEFT(K161,5)="Cachê",F161&lt;&gt;""),IF(F161&gt;IFERROR(VLOOKUP(K161,TAB_CATEGORIAS,2,FALSE),9E+99),"🔴 Cachê acima do limite: só com outras fontes ou apreciação da CNIC. ",""),"")&amp;IF(AND(LEFT(H161,6)="Outras",K161&lt;&gt;""),"🟡 Outras fontes: confirme que o recurso existe e está comprometido. ",""))))</f>
        <v/>
      </c>
    </row>
    <row r="162">
      <c r="A162" s="20" t="n"/>
      <c r="B162" s="20" t="n"/>
      <c r="C162" s="20" t="n"/>
      <c r="D162" s="20" t="n"/>
      <c r="E162" s="20" t="n"/>
      <c r="F162" s="17" t="n"/>
      <c r="G162" s="26">
        <f>IF(OR(E162="",F162=""),"",E162*F162)</f>
        <v/>
      </c>
      <c r="H162" s="20" t="n"/>
      <c r="I162" s="20" t="n"/>
      <c r="J162" s="20" t="n"/>
      <c r="K162" s="20" t="n"/>
      <c r="L162" s="20" t="n"/>
      <c r="M162" s="20" t="n"/>
      <c r="N162" s="20" t="n"/>
      <c r="O162" s="20" t="n"/>
      <c r="P162" s="27">
        <f>IF(OR(I162="",G162="",LEFT(H162,9)&lt;&gt;"Incentivo",VALOR_CAPTADO=0),"",SUMIFS($G$8:$G$207,$I$8:$I$207,I162,$H$8:$H$207,"Incentivo*")/VALOR_CAPTADO)</f>
        <v/>
      </c>
      <c r="Q162" s="21">
        <f>IF(AND(B162="",G162=""),"",IF(IF(AND(B162="",G162=""),"",IF(OR(E162="",F162=""),"🟡 Falta quantidade ou valor. ","")&amp;IF(H162="","🟡 Informe a fonte. ","")&amp;IF(K162="","🟡 Classifique a categoria de limite. ","")&amp;IF(TRIM(M162)="","🔴 Sem justificativa de vínculo: se não explica, não coloque. ","")&amp;IF(N162&lt;&gt;"Sim","🟡 Preço de mercado não conferido. ","")&amp;IF(O162="Sim","🔴 Possível DUPLA COBERTURA: a mesma despesa não pode ser paga duas vezes. ","")&amp;IF(AND(L162="Sim",K162&lt;&gt;"Remuneração do proponente"),"🟡 Pessoa vinculada: este valor SOMA no limite de remuneração do proponente. ","")&amp;IF(P162="","",IF(P162&gt;L_FORNECEDOR,"🔴 Fornecedor acima do limite sobre o valor captado (confira exceções). ",IF(P162&gt;=L_FORNECEDOR*MARGEM,"🟡 Fornecedor perto do limite. ","")))&amp;IF(AND(LEFT(K162,5)="Cachê",F162&lt;&gt;""),IF(F162&gt;IFERROR(VLOOKUP(K162,TAB_CATEGORIAS,2,FALSE),9E+99),"🔴 Cachê acima do limite: só com outras fontes ou apreciação da CNIC. ",""),"")&amp;IF(AND(LEFT(H162,6)="Outras",K162&lt;&gt;""),"🟡 Outras fontes: confirme que o recurso existe e está comprometido. ",""))="","🟢 CONFERIDO",IF(AND(B162="",G162=""),"",IF(OR(E162="",F162=""),"🟡 Falta quantidade ou valor. ","")&amp;IF(H162="","🟡 Informe a fonte. ","")&amp;IF(K162="","🟡 Classifique a categoria de limite. ","")&amp;IF(TRIM(M162)="","🔴 Sem justificativa de vínculo: se não explica, não coloque. ","")&amp;IF(N162&lt;&gt;"Sim","🟡 Preço de mercado não conferido. ","")&amp;IF(O162="Sim","🔴 Possível DUPLA COBERTURA: a mesma despesa não pode ser paga duas vezes. ","")&amp;IF(AND(L162="Sim",K162&lt;&gt;"Remuneração do proponente"),"🟡 Pessoa vinculada: este valor SOMA no limite de remuneração do proponente. ","")&amp;IF(P162="","",IF(P162&gt;L_FORNECEDOR,"🔴 Fornecedor acima do limite sobre o valor captado (confira exceções). ",IF(P162&gt;=L_FORNECEDOR*MARGEM,"🟡 Fornecedor perto do limite. ","")))&amp;IF(AND(LEFT(K162,5)="Cachê",F162&lt;&gt;""),IF(F162&gt;IFERROR(VLOOKUP(K162,TAB_CATEGORIAS,2,FALSE),9E+99),"🔴 Cachê acima do limite: só com outras fontes ou apreciação da CNIC. ",""),"")&amp;IF(AND(LEFT(H162,6)="Outras",K162&lt;&gt;""),"🟡 Outras fontes: confirme que o recurso existe e está comprometido. ",""))))</f>
        <v/>
      </c>
    </row>
    <row r="163">
      <c r="A163" s="20" t="n"/>
      <c r="B163" s="20" t="n"/>
      <c r="C163" s="20" t="n"/>
      <c r="D163" s="20" t="n"/>
      <c r="E163" s="20" t="n"/>
      <c r="F163" s="17" t="n"/>
      <c r="G163" s="26">
        <f>IF(OR(E163="",F163=""),"",E163*F163)</f>
        <v/>
      </c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7">
        <f>IF(OR(I163="",G163="",LEFT(H163,9)&lt;&gt;"Incentivo",VALOR_CAPTADO=0),"",SUMIFS($G$8:$G$207,$I$8:$I$207,I163,$H$8:$H$207,"Incentivo*")/VALOR_CAPTADO)</f>
        <v/>
      </c>
      <c r="Q163" s="21">
        <f>IF(AND(B163="",G163=""),"",IF(IF(AND(B163="",G163=""),"",IF(OR(E163="",F163=""),"🟡 Falta quantidade ou valor. ","")&amp;IF(H163="","🟡 Informe a fonte. ","")&amp;IF(K163="","🟡 Classifique a categoria de limite. ","")&amp;IF(TRIM(M163)="","🔴 Sem justificativa de vínculo: se não explica, não coloque. ","")&amp;IF(N163&lt;&gt;"Sim","🟡 Preço de mercado não conferido. ","")&amp;IF(O163="Sim","🔴 Possível DUPLA COBERTURA: a mesma despesa não pode ser paga duas vezes. ","")&amp;IF(AND(L163="Sim",K163&lt;&gt;"Remuneração do proponente"),"🟡 Pessoa vinculada: este valor SOMA no limite de remuneração do proponente. ","")&amp;IF(P163="","",IF(P163&gt;L_FORNECEDOR,"🔴 Fornecedor acima do limite sobre o valor captado (confira exceções). ",IF(P163&gt;=L_FORNECEDOR*MARGEM,"🟡 Fornecedor perto do limite. ","")))&amp;IF(AND(LEFT(K163,5)="Cachê",F163&lt;&gt;""),IF(F163&gt;IFERROR(VLOOKUP(K163,TAB_CATEGORIAS,2,FALSE),9E+99),"🔴 Cachê acima do limite: só com outras fontes ou apreciação da CNIC. ",""),"")&amp;IF(AND(LEFT(H163,6)="Outras",K163&lt;&gt;""),"🟡 Outras fontes: confirme que o recurso existe e está comprometido. ",""))="","🟢 CONFERIDO",IF(AND(B163="",G163=""),"",IF(OR(E163="",F163=""),"🟡 Falta quantidade ou valor. ","")&amp;IF(H163="","🟡 Informe a fonte. ","")&amp;IF(K163="","🟡 Classifique a categoria de limite. ","")&amp;IF(TRIM(M163)="","🔴 Sem justificativa de vínculo: se não explica, não coloque. ","")&amp;IF(N163&lt;&gt;"Sim","🟡 Preço de mercado não conferido. ","")&amp;IF(O163="Sim","🔴 Possível DUPLA COBERTURA: a mesma despesa não pode ser paga duas vezes. ","")&amp;IF(AND(L163="Sim",K163&lt;&gt;"Remuneração do proponente"),"🟡 Pessoa vinculada: este valor SOMA no limite de remuneração do proponente. ","")&amp;IF(P163="","",IF(P163&gt;L_FORNECEDOR,"🔴 Fornecedor acima do limite sobre o valor captado (confira exceções). ",IF(P163&gt;=L_FORNECEDOR*MARGEM,"🟡 Fornecedor perto do limite. ","")))&amp;IF(AND(LEFT(K163,5)="Cachê",F163&lt;&gt;""),IF(F163&gt;IFERROR(VLOOKUP(K163,TAB_CATEGORIAS,2,FALSE),9E+99),"🔴 Cachê acima do limite: só com outras fontes ou apreciação da CNIC. ",""),"")&amp;IF(AND(LEFT(H163,6)="Outras",K163&lt;&gt;""),"🟡 Outras fontes: confirme que o recurso existe e está comprometido. ",""))))</f>
        <v/>
      </c>
    </row>
    <row r="164">
      <c r="A164" s="20" t="n"/>
      <c r="B164" s="20" t="n"/>
      <c r="C164" s="20" t="n"/>
      <c r="D164" s="20" t="n"/>
      <c r="E164" s="20" t="n"/>
      <c r="F164" s="17" t="n"/>
      <c r="G164" s="26">
        <f>IF(OR(E164="",F164=""),"",E164*F164)</f>
        <v/>
      </c>
      <c r="H164" s="20" t="n"/>
      <c r="I164" s="20" t="n"/>
      <c r="J164" s="20" t="n"/>
      <c r="K164" s="20" t="n"/>
      <c r="L164" s="20" t="n"/>
      <c r="M164" s="20" t="n"/>
      <c r="N164" s="20" t="n"/>
      <c r="O164" s="20" t="n"/>
      <c r="P164" s="27">
        <f>IF(OR(I164="",G164="",LEFT(H164,9)&lt;&gt;"Incentivo",VALOR_CAPTADO=0),"",SUMIFS($G$8:$G$207,$I$8:$I$207,I164,$H$8:$H$207,"Incentivo*")/VALOR_CAPTADO)</f>
        <v/>
      </c>
      <c r="Q164" s="21">
        <f>IF(AND(B164="",G164=""),"",IF(IF(AND(B164="",G164=""),"",IF(OR(E164="",F164=""),"🟡 Falta quantidade ou valor. ","")&amp;IF(H164="","🟡 Informe a fonte. ","")&amp;IF(K164="","🟡 Classifique a categoria de limite. ","")&amp;IF(TRIM(M164)="","🔴 Sem justificativa de vínculo: se não explica, não coloque. ","")&amp;IF(N164&lt;&gt;"Sim","🟡 Preço de mercado não conferido. ","")&amp;IF(O164="Sim","🔴 Possível DUPLA COBERTURA: a mesma despesa não pode ser paga duas vezes. ","")&amp;IF(AND(L164="Sim",K164&lt;&gt;"Remuneração do proponente"),"🟡 Pessoa vinculada: este valor SOMA no limite de remuneração do proponente. ","")&amp;IF(P164="","",IF(P164&gt;L_FORNECEDOR,"🔴 Fornecedor acima do limite sobre o valor captado (confira exceções). ",IF(P164&gt;=L_FORNECEDOR*MARGEM,"🟡 Fornecedor perto do limite. ","")))&amp;IF(AND(LEFT(K164,5)="Cachê",F164&lt;&gt;""),IF(F164&gt;IFERROR(VLOOKUP(K164,TAB_CATEGORIAS,2,FALSE),9E+99),"🔴 Cachê acima do limite: só com outras fontes ou apreciação da CNIC. ",""),"")&amp;IF(AND(LEFT(H164,6)="Outras",K164&lt;&gt;""),"🟡 Outras fontes: confirme que o recurso existe e está comprometido. ",""))="","🟢 CONFERIDO",IF(AND(B164="",G164=""),"",IF(OR(E164="",F164=""),"🟡 Falta quantidade ou valor. ","")&amp;IF(H164="","🟡 Informe a fonte. ","")&amp;IF(K164="","🟡 Classifique a categoria de limite. ","")&amp;IF(TRIM(M164)="","🔴 Sem justificativa de vínculo: se não explica, não coloque. ","")&amp;IF(N164&lt;&gt;"Sim","🟡 Preço de mercado não conferido. ","")&amp;IF(O164="Sim","🔴 Possível DUPLA COBERTURA: a mesma despesa não pode ser paga duas vezes. ","")&amp;IF(AND(L164="Sim",K164&lt;&gt;"Remuneração do proponente"),"🟡 Pessoa vinculada: este valor SOMA no limite de remuneração do proponente. ","")&amp;IF(P164="","",IF(P164&gt;L_FORNECEDOR,"🔴 Fornecedor acima do limite sobre o valor captado (confira exceções). ",IF(P164&gt;=L_FORNECEDOR*MARGEM,"🟡 Fornecedor perto do limite. ","")))&amp;IF(AND(LEFT(K164,5)="Cachê",F164&lt;&gt;""),IF(F164&gt;IFERROR(VLOOKUP(K164,TAB_CATEGORIAS,2,FALSE),9E+99),"🔴 Cachê acima do limite: só com outras fontes ou apreciação da CNIC. ",""),"")&amp;IF(AND(LEFT(H164,6)="Outras",K164&lt;&gt;""),"🟡 Outras fontes: confirme que o recurso existe e está comprometido. ",""))))</f>
        <v/>
      </c>
    </row>
    <row r="165">
      <c r="A165" s="20" t="n"/>
      <c r="B165" s="20" t="n"/>
      <c r="C165" s="20" t="n"/>
      <c r="D165" s="20" t="n"/>
      <c r="E165" s="20" t="n"/>
      <c r="F165" s="17" t="n"/>
      <c r="G165" s="26">
        <f>IF(OR(E165="",F165=""),"",E165*F165)</f>
        <v/>
      </c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7">
        <f>IF(OR(I165="",G165="",LEFT(H165,9)&lt;&gt;"Incentivo",VALOR_CAPTADO=0),"",SUMIFS($G$8:$G$207,$I$8:$I$207,I165,$H$8:$H$207,"Incentivo*")/VALOR_CAPTADO)</f>
        <v/>
      </c>
      <c r="Q165" s="21">
        <f>IF(AND(B165="",G165=""),"",IF(IF(AND(B165="",G165=""),"",IF(OR(E165="",F165=""),"🟡 Falta quantidade ou valor. ","")&amp;IF(H165="","🟡 Informe a fonte. ","")&amp;IF(K165="","🟡 Classifique a categoria de limite. ","")&amp;IF(TRIM(M165)="","🔴 Sem justificativa de vínculo: se não explica, não coloque. ","")&amp;IF(N165&lt;&gt;"Sim","🟡 Preço de mercado não conferido. ","")&amp;IF(O165="Sim","🔴 Possível DUPLA COBERTURA: a mesma despesa não pode ser paga duas vezes. ","")&amp;IF(AND(L165="Sim",K165&lt;&gt;"Remuneração do proponente"),"🟡 Pessoa vinculada: este valor SOMA no limite de remuneração do proponente. ","")&amp;IF(P165="","",IF(P165&gt;L_FORNECEDOR,"🔴 Fornecedor acima do limite sobre o valor captado (confira exceções). ",IF(P165&gt;=L_FORNECEDOR*MARGEM,"🟡 Fornecedor perto do limite. ","")))&amp;IF(AND(LEFT(K165,5)="Cachê",F165&lt;&gt;""),IF(F165&gt;IFERROR(VLOOKUP(K165,TAB_CATEGORIAS,2,FALSE),9E+99),"🔴 Cachê acima do limite: só com outras fontes ou apreciação da CNIC. ",""),"")&amp;IF(AND(LEFT(H165,6)="Outras",K165&lt;&gt;""),"🟡 Outras fontes: confirme que o recurso existe e está comprometido. ",""))="","🟢 CONFERIDO",IF(AND(B165="",G165=""),"",IF(OR(E165="",F165=""),"🟡 Falta quantidade ou valor. ","")&amp;IF(H165="","🟡 Informe a fonte. ","")&amp;IF(K165="","🟡 Classifique a categoria de limite. ","")&amp;IF(TRIM(M165)="","🔴 Sem justificativa de vínculo: se não explica, não coloque. ","")&amp;IF(N165&lt;&gt;"Sim","🟡 Preço de mercado não conferido. ","")&amp;IF(O165="Sim","🔴 Possível DUPLA COBERTURA: a mesma despesa não pode ser paga duas vezes. ","")&amp;IF(AND(L165="Sim",K165&lt;&gt;"Remuneração do proponente"),"🟡 Pessoa vinculada: este valor SOMA no limite de remuneração do proponente. ","")&amp;IF(P165="","",IF(P165&gt;L_FORNECEDOR,"🔴 Fornecedor acima do limite sobre o valor captado (confira exceções). ",IF(P165&gt;=L_FORNECEDOR*MARGEM,"🟡 Fornecedor perto do limite. ","")))&amp;IF(AND(LEFT(K165,5)="Cachê",F165&lt;&gt;""),IF(F165&gt;IFERROR(VLOOKUP(K165,TAB_CATEGORIAS,2,FALSE),9E+99),"🔴 Cachê acima do limite: só com outras fontes ou apreciação da CNIC. ",""),"")&amp;IF(AND(LEFT(H165,6)="Outras",K165&lt;&gt;""),"🟡 Outras fontes: confirme que o recurso existe e está comprometido. ",""))))</f>
        <v/>
      </c>
    </row>
    <row r="166">
      <c r="A166" s="20" t="n"/>
      <c r="B166" s="20" t="n"/>
      <c r="C166" s="20" t="n"/>
      <c r="D166" s="20" t="n"/>
      <c r="E166" s="20" t="n"/>
      <c r="F166" s="17" t="n"/>
      <c r="G166" s="26">
        <f>IF(OR(E166="",F166=""),"",E166*F166)</f>
        <v/>
      </c>
      <c r="H166" s="20" t="n"/>
      <c r="I166" s="20" t="n"/>
      <c r="J166" s="20" t="n"/>
      <c r="K166" s="20" t="n"/>
      <c r="L166" s="20" t="n"/>
      <c r="M166" s="20" t="n"/>
      <c r="N166" s="20" t="n"/>
      <c r="O166" s="20" t="n"/>
      <c r="P166" s="27">
        <f>IF(OR(I166="",G166="",LEFT(H166,9)&lt;&gt;"Incentivo",VALOR_CAPTADO=0),"",SUMIFS($G$8:$G$207,$I$8:$I$207,I166,$H$8:$H$207,"Incentivo*")/VALOR_CAPTADO)</f>
        <v/>
      </c>
      <c r="Q166" s="21">
        <f>IF(AND(B166="",G166=""),"",IF(IF(AND(B166="",G166=""),"",IF(OR(E166="",F166=""),"🟡 Falta quantidade ou valor. ","")&amp;IF(H166="","🟡 Informe a fonte. ","")&amp;IF(K166="","🟡 Classifique a categoria de limite. ","")&amp;IF(TRIM(M166)="","🔴 Sem justificativa de vínculo: se não explica, não coloque. ","")&amp;IF(N166&lt;&gt;"Sim","🟡 Preço de mercado não conferido. ","")&amp;IF(O166="Sim","🔴 Possível DUPLA COBERTURA: a mesma despesa não pode ser paga duas vezes. ","")&amp;IF(AND(L166="Sim",K166&lt;&gt;"Remuneração do proponente"),"🟡 Pessoa vinculada: este valor SOMA no limite de remuneração do proponente. ","")&amp;IF(P166="","",IF(P166&gt;L_FORNECEDOR,"🔴 Fornecedor acima do limite sobre o valor captado (confira exceções). ",IF(P166&gt;=L_FORNECEDOR*MARGEM,"🟡 Fornecedor perto do limite. ","")))&amp;IF(AND(LEFT(K166,5)="Cachê",F166&lt;&gt;""),IF(F166&gt;IFERROR(VLOOKUP(K166,TAB_CATEGORIAS,2,FALSE),9E+99),"🔴 Cachê acima do limite: só com outras fontes ou apreciação da CNIC. ",""),"")&amp;IF(AND(LEFT(H166,6)="Outras",K166&lt;&gt;""),"🟡 Outras fontes: confirme que o recurso existe e está comprometido. ",""))="","🟢 CONFERIDO",IF(AND(B166="",G166=""),"",IF(OR(E166="",F166=""),"🟡 Falta quantidade ou valor. ","")&amp;IF(H166="","🟡 Informe a fonte. ","")&amp;IF(K166="","🟡 Classifique a categoria de limite. ","")&amp;IF(TRIM(M166)="","🔴 Sem justificativa de vínculo: se não explica, não coloque. ","")&amp;IF(N166&lt;&gt;"Sim","🟡 Preço de mercado não conferido. ","")&amp;IF(O166="Sim","🔴 Possível DUPLA COBERTURA: a mesma despesa não pode ser paga duas vezes. ","")&amp;IF(AND(L166="Sim",K166&lt;&gt;"Remuneração do proponente"),"🟡 Pessoa vinculada: este valor SOMA no limite de remuneração do proponente. ","")&amp;IF(P166="","",IF(P166&gt;L_FORNECEDOR,"🔴 Fornecedor acima do limite sobre o valor captado (confira exceções). ",IF(P166&gt;=L_FORNECEDOR*MARGEM,"🟡 Fornecedor perto do limite. ","")))&amp;IF(AND(LEFT(K166,5)="Cachê",F166&lt;&gt;""),IF(F166&gt;IFERROR(VLOOKUP(K166,TAB_CATEGORIAS,2,FALSE),9E+99),"🔴 Cachê acima do limite: só com outras fontes ou apreciação da CNIC. ",""),"")&amp;IF(AND(LEFT(H166,6)="Outras",K166&lt;&gt;""),"🟡 Outras fontes: confirme que o recurso existe e está comprometido. ",""))))</f>
        <v/>
      </c>
    </row>
    <row r="167">
      <c r="A167" s="20" t="n"/>
      <c r="B167" s="20" t="n"/>
      <c r="C167" s="20" t="n"/>
      <c r="D167" s="20" t="n"/>
      <c r="E167" s="20" t="n"/>
      <c r="F167" s="17" t="n"/>
      <c r="G167" s="26">
        <f>IF(OR(E167="",F167=""),"",E167*F167)</f>
        <v/>
      </c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7">
        <f>IF(OR(I167="",G167="",LEFT(H167,9)&lt;&gt;"Incentivo",VALOR_CAPTADO=0),"",SUMIFS($G$8:$G$207,$I$8:$I$207,I167,$H$8:$H$207,"Incentivo*")/VALOR_CAPTADO)</f>
        <v/>
      </c>
      <c r="Q167" s="21">
        <f>IF(AND(B167="",G167=""),"",IF(IF(AND(B167="",G167=""),"",IF(OR(E167="",F167=""),"🟡 Falta quantidade ou valor. ","")&amp;IF(H167="","🟡 Informe a fonte. ","")&amp;IF(K167="","🟡 Classifique a categoria de limite. ","")&amp;IF(TRIM(M167)="","🔴 Sem justificativa de vínculo: se não explica, não coloque. ","")&amp;IF(N167&lt;&gt;"Sim","🟡 Preço de mercado não conferido. ","")&amp;IF(O167="Sim","🔴 Possível DUPLA COBERTURA: a mesma despesa não pode ser paga duas vezes. ","")&amp;IF(AND(L167="Sim",K167&lt;&gt;"Remuneração do proponente"),"🟡 Pessoa vinculada: este valor SOMA no limite de remuneração do proponente. ","")&amp;IF(P167="","",IF(P167&gt;L_FORNECEDOR,"🔴 Fornecedor acima do limite sobre o valor captado (confira exceções). ",IF(P167&gt;=L_FORNECEDOR*MARGEM,"🟡 Fornecedor perto do limite. ","")))&amp;IF(AND(LEFT(K167,5)="Cachê",F167&lt;&gt;""),IF(F167&gt;IFERROR(VLOOKUP(K167,TAB_CATEGORIAS,2,FALSE),9E+99),"🔴 Cachê acima do limite: só com outras fontes ou apreciação da CNIC. ",""),"")&amp;IF(AND(LEFT(H167,6)="Outras",K167&lt;&gt;""),"🟡 Outras fontes: confirme que o recurso existe e está comprometido. ",""))="","🟢 CONFERIDO",IF(AND(B167="",G167=""),"",IF(OR(E167="",F167=""),"🟡 Falta quantidade ou valor. ","")&amp;IF(H167="","🟡 Informe a fonte. ","")&amp;IF(K167="","🟡 Classifique a categoria de limite. ","")&amp;IF(TRIM(M167)="","🔴 Sem justificativa de vínculo: se não explica, não coloque. ","")&amp;IF(N167&lt;&gt;"Sim","🟡 Preço de mercado não conferido. ","")&amp;IF(O167="Sim","🔴 Possível DUPLA COBERTURA: a mesma despesa não pode ser paga duas vezes. ","")&amp;IF(AND(L167="Sim",K167&lt;&gt;"Remuneração do proponente"),"🟡 Pessoa vinculada: este valor SOMA no limite de remuneração do proponente. ","")&amp;IF(P167="","",IF(P167&gt;L_FORNECEDOR,"🔴 Fornecedor acima do limite sobre o valor captado (confira exceções). ",IF(P167&gt;=L_FORNECEDOR*MARGEM,"🟡 Fornecedor perto do limite. ","")))&amp;IF(AND(LEFT(K167,5)="Cachê",F167&lt;&gt;""),IF(F167&gt;IFERROR(VLOOKUP(K167,TAB_CATEGORIAS,2,FALSE),9E+99),"🔴 Cachê acima do limite: só com outras fontes ou apreciação da CNIC. ",""),"")&amp;IF(AND(LEFT(H167,6)="Outras",K167&lt;&gt;""),"🟡 Outras fontes: confirme que o recurso existe e está comprometido. ",""))))</f>
        <v/>
      </c>
    </row>
    <row r="168">
      <c r="A168" s="20" t="n"/>
      <c r="B168" s="20" t="n"/>
      <c r="C168" s="20" t="n"/>
      <c r="D168" s="20" t="n"/>
      <c r="E168" s="20" t="n"/>
      <c r="F168" s="17" t="n"/>
      <c r="G168" s="26">
        <f>IF(OR(E168="",F168=""),"",E168*F168)</f>
        <v/>
      </c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7">
        <f>IF(OR(I168="",G168="",LEFT(H168,9)&lt;&gt;"Incentivo",VALOR_CAPTADO=0),"",SUMIFS($G$8:$G$207,$I$8:$I$207,I168,$H$8:$H$207,"Incentivo*")/VALOR_CAPTADO)</f>
        <v/>
      </c>
      <c r="Q168" s="21">
        <f>IF(AND(B168="",G168=""),"",IF(IF(AND(B168="",G168=""),"",IF(OR(E168="",F168=""),"🟡 Falta quantidade ou valor. ","")&amp;IF(H168="","🟡 Informe a fonte. ","")&amp;IF(K168="","🟡 Classifique a categoria de limite. ","")&amp;IF(TRIM(M168)="","🔴 Sem justificativa de vínculo: se não explica, não coloque. ","")&amp;IF(N168&lt;&gt;"Sim","🟡 Preço de mercado não conferido. ","")&amp;IF(O168="Sim","🔴 Possível DUPLA COBERTURA: a mesma despesa não pode ser paga duas vezes. ","")&amp;IF(AND(L168="Sim",K168&lt;&gt;"Remuneração do proponente"),"🟡 Pessoa vinculada: este valor SOMA no limite de remuneração do proponente. ","")&amp;IF(P168="","",IF(P168&gt;L_FORNECEDOR,"🔴 Fornecedor acima do limite sobre o valor captado (confira exceções). ",IF(P168&gt;=L_FORNECEDOR*MARGEM,"🟡 Fornecedor perto do limite. ","")))&amp;IF(AND(LEFT(K168,5)="Cachê",F168&lt;&gt;""),IF(F168&gt;IFERROR(VLOOKUP(K168,TAB_CATEGORIAS,2,FALSE),9E+99),"🔴 Cachê acima do limite: só com outras fontes ou apreciação da CNIC. ",""),"")&amp;IF(AND(LEFT(H168,6)="Outras",K168&lt;&gt;""),"🟡 Outras fontes: confirme que o recurso existe e está comprometido. ",""))="","🟢 CONFERIDO",IF(AND(B168="",G168=""),"",IF(OR(E168="",F168=""),"🟡 Falta quantidade ou valor. ","")&amp;IF(H168="","🟡 Informe a fonte. ","")&amp;IF(K168="","🟡 Classifique a categoria de limite. ","")&amp;IF(TRIM(M168)="","🔴 Sem justificativa de vínculo: se não explica, não coloque. ","")&amp;IF(N168&lt;&gt;"Sim","🟡 Preço de mercado não conferido. ","")&amp;IF(O168="Sim","🔴 Possível DUPLA COBERTURA: a mesma despesa não pode ser paga duas vezes. ","")&amp;IF(AND(L168="Sim",K168&lt;&gt;"Remuneração do proponente"),"🟡 Pessoa vinculada: este valor SOMA no limite de remuneração do proponente. ","")&amp;IF(P168="","",IF(P168&gt;L_FORNECEDOR,"🔴 Fornecedor acima do limite sobre o valor captado (confira exceções). ",IF(P168&gt;=L_FORNECEDOR*MARGEM,"🟡 Fornecedor perto do limite. ","")))&amp;IF(AND(LEFT(K168,5)="Cachê",F168&lt;&gt;""),IF(F168&gt;IFERROR(VLOOKUP(K168,TAB_CATEGORIAS,2,FALSE),9E+99),"🔴 Cachê acima do limite: só com outras fontes ou apreciação da CNIC. ",""),"")&amp;IF(AND(LEFT(H168,6)="Outras",K168&lt;&gt;""),"🟡 Outras fontes: confirme que o recurso existe e está comprometido. ",""))))</f>
        <v/>
      </c>
    </row>
    <row r="169">
      <c r="A169" s="20" t="n"/>
      <c r="B169" s="20" t="n"/>
      <c r="C169" s="20" t="n"/>
      <c r="D169" s="20" t="n"/>
      <c r="E169" s="20" t="n"/>
      <c r="F169" s="17" t="n"/>
      <c r="G169" s="26">
        <f>IF(OR(E169="",F169=""),"",E169*F169)</f>
        <v/>
      </c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7">
        <f>IF(OR(I169="",G169="",LEFT(H169,9)&lt;&gt;"Incentivo",VALOR_CAPTADO=0),"",SUMIFS($G$8:$G$207,$I$8:$I$207,I169,$H$8:$H$207,"Incentivo*")/VALOR_CAPTADO)</f>
        <v/>
      </c>
      <c r="Q169" s="21">
        <f>IF(AND(B169="",G169=""),"",IF(IF(AND(B169="",G169=""),"",IF(OR(E169="",F169=""),"🟡 Falta quantidade ou valor. ","")&amp;IF(H169="","🟡 Informe a fonte. ","")&amp;IF(K169="","🟡 Classifique a categoria de limite. ","")&amp;IF(TRIM(M169)="","🔴 Sem justificativa de vínculo: se não explica, não coloque. ","")&amp;IF(N169&lt;&gt;"Sim","🟡 Preço de mercado não conferido. ","")&amp;IF(O169="Sim","🔴 Possível DUPLA COBERTURA: a mesma despesa não pode ser paga duas vezes. ","")&amp;IF(AND(L169="Sim",K169&lt;&gt;"Remuneração do proponente"),"🟡 Pessoa vinculada: este valor SOMA no limite de remuneração do proponente. ","")&amp;IF(P169="","",IF(P169&gt;L_FORNECEDOR,"🔴 Fornecedor acima do limite sobre o valor captado (confira exceções). ",IF(P169&gt;=L_FORNECEDOR*MARGEM,"🟡 Fornecedor perto do limite. ","")))&amp;IF(AND(LEFT(K169,5)="Cachê",F169&lt;&gt;""),IF(F169&gt;IFERROR(VLOOKUP(K169,TAB_CATEGORIAS,2,FALSE),9E+99),"🔴 Cachê acima do limite: só com outras fontes ou apreciação da CNIC. ",""),"")&amp;IF(AND(LEFT(H169,6)="Outras",K169&lt;&gt;""),"🟡 Outras fontes: confirme que o recurso existe e está comprometido. ",""))="","🟢 CONFERIDO",IF(AND(B169="",G169=""),"",IF(OR(E169="",F169=""),"🟡 Falta quantidade ou valor. ","")&amp;IF(H169="","🟡 Informe a fonte. ","")&amp;IF(K169="","🟡 Classifique a categoria de limite. ","")&amp;IF(TRIM(M169)="","🔴 Sem justificativa de vínculo: se não explica, não coloque. ","")&amp;IF(N169&lt;&gt;"Sim","🟡 Preço de mercado não conferido. ","")&amp;IF(O169="Sim","🔴 Possível DUPLA COBERTURA: a mesma despesa não pode ser paga duas vezes. ","")&amp;IF(AND(L169="Sim",K169&lt;&gt;"Remuneração do proponente"),"🟡 Pessoa vinculada: este valor SOMA no limite de remuneração do proponente. ","")&amp;IF(P169="","",IF(P169&gt;L_FORNECEDOR,"🔴 Fornecedor acima do limite sobre o valor captado (confira exceções). ",IF(P169&gt;=L_FORNECEDOR*MARGEM,"🟡 Fornecedor perto do limite. ","")))&amp;IF(AND(LEFT(K169,5)="Cachê",F169&lt;&gt;""),IF(F169&gt;IFERROR(VLOOKUP(K169,TAB_CATEGORIAS,2,FALSE),9E+99),"🔴 Cachê acima do limite: só com outras fontes ou apreciação da CNIC. ",""),"")&amp;IF(AND(LEFT(H169,6)="Outras",K169&lt;&gt;""),"🟡 Outras fontes: confirme que o recurso existe e está comprometido. ",""))))</f>
        <v/>
      </c>
    </row>
    <row r="170">
      <c r="A170" s="20" t="n"/>
      <c r="B170" s="20" t="n"/>
      <c r="C170" s="20" t="n"/>
      <c r="D170" s="20" t="n"/>
      <c r="E170" s="20" t="n"/>
      <c r="F170" s="17" t="n"/>
      <c r="G170" s="26">
        <f>IF(OR(E170="",F170=""),"",E170*F170)</f>
        <v/>
      </c>
      <c r="H170" s="20" t="n"/>
      <c r="I170" s="20" t="n"/>
      <c r="J170" s="20" t="n"/>
      <c r="K170" s="20" t="n"/>
      <c r="L170" s="20" t="n"/>
      <c r="M170" s="20" t="n"/>
      <c r="N170" s="20" t="n"/>
      <c r="O170" s="20" t="n"/>
      <c r="P170" s="27">
        <f>IF(OR(I170="",G170="",LEFT(H170,9)&lt;&gt;"Incentivo",VALOR_CAPTADO=0),"",SUMIFS($G$8:$G$207,$I$8:$I$207,I170,$H$8:$H$207,"Incentivo*")/VALOR_CAPTADO)</f>
        <v/>
      </c>
      <c r="Q170" s="21">
        <f>IF(AND(B170="",G170=""),"",IF(IF(AND(B170="",G170=""),"",IF(OR(E170="",F170=""),"🟡 Falta quantidade ou valor. ","")&amp;IF(H170="","🟡 Informe a fonte. ","")&amp;IF(K170="","🟡 Classifique a categoria de limite. ","")&amp;IF(TRIM(M170)="","🔴 Sem justificativa de vínculo: se não explica, não coloque. ","")&amp;IF(N170&lt;&gt;"Sim","🟡 Preço de mercado não conferido. ","")&amp;IF(O170="Sim","🔴 Possível DUPLA COBERTURA: a mesma despesa não pode ser paga duas vezes. ","")&amp;IF(AND(L170="Sim",K170&lt;&gt;"Remuneração do proponente"),"🟡 Pessoa vinculada: este valor SOMA no limite de remuneração do proponente. ","")&amp;IF(P170="","",IF(P170&gt;L_FORNECEDOR,"🔴 Fornecedor acima do limite sobre o valor captado (confira exceções). ",IF(P170&gt;=L_FORNECEDOR*MARGEM,"🟡 Fornecedor perto do limite. ","")))&amp;IF(AND(LEFT(K170,5)="Cachê",F170&lt;&gt;""),IF(F170&gt;IFERROR(VLOOKUP(K170,TAB_CATEGORIAS,2,FALSE),9E+99),"🔴 Cachê acima do limite: só com outras fontes ou apreciação da CNIC. ",""),"")&amp;IF(AND(LEFT(H170,6)="Outras",K170&lt;&gt;""),"🟡 Outras fontes: confirme que o recurso existe e está comprometido. ",""))="","🟢 CONFERIDO",IF(AND(B170="",G170=""),"",IF(OR(E170="",F170=""),"🟡 Falta quantidade ou valor. ","")&amp;IF(H170="","🟡 Informe a fonte. ","")&amp;IF(K170="","🟡 Classifique a categoria de limite. ","")&amp;IF(TRIM(M170)="","🔴 Sem justificativa de vínculo: se não explica, não coloque. ","")&amp;IF(N170&lt;&gt;"Sim","🟡 Preço de mercado não conferido. ","")&amp;IF(O170="Sim","🔴 Possível DUPLA COBERTURA: a mesma despesa não pode ser paga duas vezes. ","")&amp;IF(AND(L170="Sim",K170&lt;&gt;"Remuneração do proponente"),"🟡 Pessoa vinculada: este valor SOMA no limite de remuneração do proponente. ","")&amp;IF(P170="","",IF(P170&gt;L_FORNECEDOR,"🔴 Fornecedor acima do limite sobre o valor captado (confira exceções). ",IF(P170&gt;=L_FORNECEDOR*MARGEM,"🟡 Fornecedor perto do limite. ","")))&amp;IF(AND(LEFT(K170,5)="Cachê",F170&lt;&gt;""),IF(F170&gt;IFERROR(VLOOKUP(K170,TAB_CATEGORIAS,2,FALSE),9E+99),"🔴 Cachê acima do limite: só com outras fontes ou apreciação da CNIC. ",""),"")&amp;IF(AND(LEFT(H170,6)="Outras",K170&lt;&gt;""),"🟡 Outras fontes: confirme que o recurso existe e está comprometido. ",""))))</f>
        <v/>
      </c>
    </row>
    <row r="171">
      <c r="A171" s="20" t="n"/>
      <c r="B171" s="20" t="n"/>
      <c r="C171" s="20" t="n"/>
      <c r="D171" s="20" t="n"/>
      <c r="E171" s="20" t="n"/>
      <c r="F171" s="17" t="n"/>
      <c r="G171" s="26">
        <f>IF(OR(E171="",F171=""),"",E171*F171)</f>
        <v/>
      </c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7">
        <f>IF(OR(I171="",G171="",LEFT(H171,9)&lt;&gt;"Incentivo",VALOR_CAPTADO=0),"",SUMIFS($G$8:$G$207,$I$8:$I$207,I171,$H$8:$H$207,"Incentivo*")/VALOR_CAPTADO)</f>
        <v/>
      </c>
      <c r="Q171" s="21">
        <f>IF(AND(B171="",G171=""),"",IF(IF(AND(B171="",G171=""),"",IF(OR(E171="",F171=""),"🟡 Falta quantidade ou valor. ","")&amp;IF(H171="","🟡 Informe a fonte. ","")&amp;IF(K171="","🟡 Classifique a categoria de limite. ","")&amp;IF(TRIM(M171)="","🔴 Sem justificativa de vínculo: se não explica, não coloque. ","")&amp;IF(N171&lt;&gt;"Sim","🟡 Preço de mercado não conferido. ","")&amp;IF(O171="Sim","🔴 Possível DUPLA COBERTURA: a mesma despesa não pode ser paga duas vezes. ","")&amp;IF(AND(L171="Sim",K171&lt;&gt;"Remuneração do proponente"),"🟡 Pessoa vinculada: este valor SOMA no limite de remuneração do proponente. ","")&amp;IF(P171="","",IF(P171&gt;L_FORNECEDOR,"🔴 Fornecedor acima do limite sobre o valor captado (confira exceções). ",IF(P171&gt;=L_FORNECEDOR*MARGEM,"🟡 Fornecedor perto do limite. ","")))&amp;IF(AND(LEFT(K171,5)="Cachê",F171&lt;&gt;""),IF(F171&gt;IFERROR(VLOOKUP(K171,TAB_CATEGORIAS,2,FALSE),9E+99),"🔴 Cachê acima do limite: só com outras fontes ou apreciação da CNIC. ",""),"")&amp;IF(AND(LEFT(H171,6)="Outras",K171&lt;&gt;""),"🟡 Outras fontes: confirme que o recurso existe e está comprometido. ",""))="","🟢 CONFERIDO",IF(AND(B171="",G171=""),"",IF(OR(E171="",F171=""),"🟡 Falta quantidade ou valor. ","")&amp;IF(H171="","🟡 Informe a fonte. ","")&amp;IF(K171="","🟡 Classifique a categoria de limite. ","")&amp;IF(TRIM(M171)="","🔴 Sem justificativa de vínculo: se não explica, não coloque. ","")&amp;IF(N171&lt;&gt;"Sim","🟡 Preço de mercado não conferido. ","")&amp;IF(O171="Sim","🔴 Possível DUPLA COBERTURA: a mesma despesa não pode ser paga duas vezes. ","")&amp;IF(AND(L171="Sim",K171&lt;&gt;"Remuneração do proponente"),"🟡 Pessoa vinculada: este valor SOMA no limite de remuneração do proponente. ","")&amp;IF(P171="","",IF(P171&gt;L_FORNECEDOR,"🔴 Fornecedor acima do limite sobre o valor captado (confira exceções). ",IF(P171&gt;=L_FORNECEDOR*MARGEM,"🟡 Fornecedor perto do limite. ","")))&amp;IF(AND(LEFT(K171,5)="Cachê",F171&lt;&gt;""),IF(F171&gt;IFERROR(VLOOKUP(K171,TAB_CATEGORIAS,2,FALSE),9E+99),"🔴 Cachê acima do limite: só com outras fontes ou apreciação da CNIC. ",""),"")&amp;IF(AND(LEFT(H171,6)="Outras",K171&lt;&gt;""),"🟡 Outras fontes: confirme que o recurso existe e está comprometido. ",""))))</f>
        <v/>
      </c>
    </row>
    <row r="172">
      <c r="A172" s="20" t="n"/>
      <c r="B172" s="20" t="n"/>
      <c r="C172" s="20" t="n"/>
      <c r="D172" s="20" t="n"/>
      <c r="E172" s="20" t="n"/>
      <c r="F172" s="17" t="n"/>
      <c r="G172" s="26">
        <f>IF(OR(E172="",F172=""),"",E172*F172)</f>
        <v/>
      </c>
      <c r="H172" s="20" t="n"/>
      <c r="I172" s="20" t="n"/>
      <c r="J172" s="20" t="n"/>
      <c r="K172" s="20" t="n"/>
      <c r="L172" s="20" t="n"/>
      <c r="M172" s="20" t="n"/>
      <c r="N172" s="20" t="n"/>
      <c r="O172" s="20" t="n"/>
      <c r="P172" s="27">
        <f>IF(OR(I172="",G172="",LEFT(H172,9)&lt;&gt;"Incentivo",VALOR_CAPTADO=0),"",SUMIFS($G$8:$G$207,$I$8:$I$207,I172,$H$8:$H$207,"Incentivo*")/VALOR_CAPTADO)</f>
        <v/>
      </c>
      <c r="Q172" s="21">
        <f>IF(AND(B172="",G172=""),"",IF(IF(AND(B172="",G172=""),"",IF(OR(E172="",F172=""),"🟡 Falta quantidade ou valor. ","")&amp;IF(H172="","🟡 Informe a fonte. ","")&amp;IF(K172="","🟡 Classifique a categoria de limite. ","")&amp;IF(TRIM(M172)="","🔴 Sem justificativa de vínculo: se não explica, não coloque. ","")&amp;IF(N172&lt;&gt;"Sim","🟡 Preço de mercado não conferido. ","")&amp;IF(O172="Sim","🔴 Possível DUPLA COBERTURA: a mesma despesa não pode ser paga duas vezes. ","")&amp;IF(AND(L172="Sim",K172&lt;&gt;"Remuneração do proponente"),"🟡 Pessoa vinculada: este valor SOMA no limite de remuneração do proponente. ","")&amp;IF(P172="","",IF(P172&gt;L_FORNECEDOR,"🔴 Fornecedor acima do limite sobre o valor captado (confira exceções). ",IF(P172&gt;=L_FORNECEDOR*MARGEM,"🟡 Fornecedor perto do limite. ","")))&amp;IF(AND(LEFT(K172,5)="Cachê",F172&lt;&gt;""),IF(F172&gt;IFERROR(VLOOKUP(K172,TAB_CATEGORIAS,2,FALSE),9E+99),"🔴 Cachê acima do limite: só com outras fontes ou apreciação da CNIC. ",""),"")&amp;IF(AND(LEFT(H172,6)="Outras",K172&lt;&gt;""),"🟡 Outras fontes: confirme que o recurso existe e está comprometido. ",""))="","🟢 CONFERIDO",IF(AND(B172="",G172=""),"",IF(OR(E172="",F172=""),"🟡 Falta quantidade ou valor. ","")&amp;IF(H172="","🟡 Informe a fonte. ","")&amp;IF(K172="","🟡 Classifique a categoria de limite. ","")&amp;IF(TRIM(M172)="","🔴 Sem justificativa de vínculo: se não explica, não coloque. ","")&amp;IF(N172&lt;&gt;"Sim","🟡 Preço de mercado não conferido. ","")&amp;IF(O172="Sim","🔴 Possível DUPLA COBERTURA: a mesma despesa não pode ser paga duas vezes. ","")&amp;IF(AND(L172="Sim",K172&lt;&gt;"Remuneração do proponente"),"🟡 Pessoa vinculada: este valor SOMA no limite de remuneração do proponente. ","")&amp;IF(P172="","",IF(P172&gt;L_FORNECEDOR,"🔴 Fornecedor acima do limite sobre o valor captado (confira exceções). ",IF(P172&gt;=L_FORNECEDOR*MARGEM,"🟡 Fornecedor perto do limite. ","")))&amp;IF(AND(LEFT(K172,5)="Cachê",F172&lt;&gt;""),IF(F172&gt;IFERROR(VLOOKUP(K172,TAB_CATEGORIAS,2,FALSE),9E+99),"🔴 Cachê acima do limite: só com outras fontes ou apreciação da CNIC. ",""),"")&amp;IF(AND(LEFT(H172,6)="Outras",K172&lt;&gt;""),"🟡 Outras fontes: confirme que o recurso existe e está comprometido. ",""))))</f>
        <v/>
      </c>
    </row>
    <row r="173">
      <c r="A173" s="20" t="n"/>
      <c r="B173" s="20" t="n"/>
      <c r="C173" s="20" t="n"/>
      <c r="D173" s="20" t="n"/>
      <c r="E173" s="20" t="n"/>
      <c r="F173" s="17" t="n"/>
      <c r="G173" s="26">
        <f>IF(OR(E173="",F173=""),"",E173*F173)</f>
        <v/>
      </c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7">
        <f>IF(OR(I173="",G173="",LEFT(H173,9)&lt;&gt;"Incentivo",VALOR_CAPTADO=0),"",SUMIFS($G$8:$G$207,$I$8:$I$207,I173,$H$8:$H$207,"Incentivo*")/VALOR_CAPTADO)</f>
        <v/>
      </c>
      <c r="Q173" s="21">
        <f>IF(AND(B173="",G173=""),"",IF(IF(AND(B173="",G173=""),"",IF(OR(E173="",F173=""),"🟡 Falta quantidade ou valor. ","")&amp;IF(H173="","🟡 Informe a fonte. ","")&amp;IF(K173="","🟡 Classifique a categoria de limite. ","")&amp;IF(TRIM(M173)="","🔴 Sem justificativa de vínculo: se não explica, não coloque. ","")&amp;IF(N173&lt;&gt;"Sim","🟡 Preço de mercado não conferido. ","")&amp;IF(O173="Sim","🔴 Possível DUPLA COBERTURA: a mesma despesa não pode ser paga duas vezes. ","")&amp;IF(AND(L173="Sim",K173&lt;&gt;"Remuneração do proponente"),"🟡 Pessoa vinculada: este valor SOMA no limite de remuneração do proponente. ","")&amp;IF(P173="","",IF(P173&gt;L_FORNECEDOR,"🔴 Fornecedor acima do limite sobre o valor captado (confira exceções). ",IF(P173&gt;=L_FORNECEDOR*MARGEM,"🟡 Fornecedor perto do limite. ","")))&amp;IF(AND(LEFT(K173,5)="Cachê",F173&lt;&gt;""),IF(F173&gt;IFERROR(VLOOKUP(K173,TAB_CATEGORIAS,2,FALSE),9E+99),"🔴 Cachê acima do limite: só com outras fontes ou apreciação da CNIC. ",""),"")&amp;IF(AND(LEFT(H173,6)="Outras",K173&lt;&gt;""),"🟡 Outras fontes: confirme que o recurso existe e está comprometido. ",""))="","🟢 CONFERIDO",IF(AND(B173="",G173=""),"",IF(OR(E173="",F173=""),"🟡 Falta quantidade ou valor. ","")&amp;IF(H173="","🟡 Informe a fonte. ","")&amp;IF(K173="","🟡 Classifique a categoria de limite. ","")&amp;IF(TRIM(M173)="","🔴 Sem justificativa de vínculo: se não explica, não coloque. ","")&amp;IF(N173&lt;&gt;"Sim","🟡 Preço de mercado não conferido. ","")&amp;IF(O173="Sim","🔴 Possível DUPLA COBERTURA: a mesma despesa não pode ser paga duas vezes. ","")&amp;IF(AND(L173="Sim",K173&lt;&gt;"Remuneração do proponente"),"🟡 Pessoa vinculada: este valor SOMA no limite de remuneração do proponente. ","")&amp;IF(P173="","",IF(P173&gt;L_FORNECEDOR,"🔴 Fornecedor acima do limite sobre o valor captado (confira exceções). ",IF(P173&gt;=L_FORNECEDOR*MARGEM,"🟡 Fornecedor perto do limite. ","")))&amp;IF(AND(LEFT(K173,5)="Cachê",F173&lt;&gt;""),IF(F173&gt;IFERROR(VLOOKUP(K173,TAB_CATEGORIAS,2,FALSE),9E+99),"🔴 Cachê acima do limite: só com outras fontes ou apreciação da CNIC. ",""),"")&amp;IF(AND(LEFT(H173,6)="Outras",K173&lt;&gt;""),"🟡 Outras fontes: confirme que o recurso existe e está comprometido. ",""))))</f>
        <v/>
      </c>
    </row>
    <row r="174">
      <c r="A174" s="20" t="n"/>
      <c r="B174" s="20" t="n"/>
      <c r="C174" s="20" t="n"/>
      <c r="D174" s="20" t="n"/>
      <c r="E174" s="20" t="n"/>
      <c r="F174" s="17" t="n"/>
      <c r="G174" s="26">
        <f>IF(OR(E174="",F174=""),"",E174*F174)</f>
        <v/>
      </c>
      <c r="H174" s="20" t="n"/>
      <c r="I174" s="20" t="n"/>
      <c r="J174" s="20" t="n"/>
      <c r="K174" s="20" t="n"/>
      <c r="L174" s="20" t="n"/>
      <c r="M174" s="20" t="n"/>
      <c r="N174" s="20" t="n"/>
      <c r="O174" s="20" t="n"/>
      <c r="P174" s="27">
        <f>IF(OR(I174="",G174="",LEFT(H174,9)&lt;&gt;"Incentivo",VALOR_CAPTADO=0),"",SUMIFS($G$8:$G$207,$I$8:$I$207,I174,$H$8:$H$207,"Incentivo*")/VALOR_CAPTADO)</f>
        <v/>
      </c>
      <c r="Q174" s="21">
        <f>IF(AND(B174="",G174=""),"",IF(IF(AND(B174="",G174=""),"",IF(OR(E174="",F174=""),"🟡 Falta quantidade ou valor. ","")&amp;IF(H174="","🟡 Informe a fonte. ","")&amp;IF(K174="","🟡 Classifique a categoria de limite. ","")&amp;IF(TRIM(M174)="","🔴 Sem justificativa de vínculo: se não explica, não coloque. ","")&amp;IF(N174&lt;&gt;"Sim","🟡 Preço de mercado não conferido. ","")&amp;IF(O174="Sim","🔴 Possível DUPLA COBERTURA: a mesma despesa não pode ser paga duas vezes. ","")&amp;IF(AND(L174="Sim",K174&lt;&gt;"Remuneração do proponente"),"🟡 Pessoa vinculada: este valor SOMA no limite de remuneração do proponente. ","")&amp;IF(P174="","",IF(P174&gt;L_FORNECEDOR,"🔴 Fornecedor acima do limite sobre o valor captado (confira exceções). ",IF(P174&gt;=L_FORNECEDOR*MARGEM,"🟡 Fornecedor perto do limite. ","")))&amp;IF(AND(LEFT(K174,5)="Cachê",F174&lt;&gt;""),IF(F174&gt;IFERROR(VLOOKUP(K174,TAB_CATEGORIAS,2,FALSE),9E+99),"🔴 Cachê acima do limite: só com outras fontes ou apreciação da CNIC. ",""),"")&amp;IF(AND(LEFT(H174,6)="Outras",K174&lt;&gt;""),"🟡 Outras fontes: confirme que o recurso existe e está comprometido. ",""))="","🟢 CONFERIDO",IF(AND(B174="",G174=""),"",IF(OR(E174="",F174=""),"🟡 Falta quantidade ou valor. ","")&amp;IF(H174="","🟡 Informe a fonte. ","")&amp;IF(K174="","🟡 Classifique a categoria de limite. ","")&amp;IF(TRIM(M174)="","🔴 Sem justificativa de vínculo: se não explica, não coloque. ","")&amp;IF(N174&lt;&gt;"Sim","🟡 Preço de mercado não conferido. ","")&amp;IF(O174="Sim","🔴 Possível DUPLA COBERTURA: a mesma despesa não pode ser paga duas vezes. ","")&amp;IF(AND(L174="Sim",K174&lt;&gt;"Remuneração do proponente"),"🟡 Pessoa vinculada: este valor SOMA no limite de remuneração do proponente. ","")&amp;IF(P174="","",IF(P174&gt;L_FORNECEDOR,"🔴 Fornecedor acima do limite sobre o valor captado (confira exceções). ",IF(P174&gt;=L_FORNECEDOR*MARGEM,"🟡 Fornecedor perto do limite. ","")))&amp;IF(AND(LEFT(K174,5)="Cachê",F174&lt;&gt;""),IF(F174&gt;IFERROR(VLOOKUP(K174,TAB_CATEGORIAS,2,FALSE),9E+99),"🔴 Cachê acima do limite: só com outras fontes ou apreciação da CNIC. ",""),"")&amp;IF(AND(LEFT(H174,6)="Outras",K174&lt;&gt;""),"🟡 Outras fontes: confirme que o recurso existe e está comprometido. ",""))))</f>
        <v/>
      </c>
    </row>
    <row r="175">
      <c r="A175" s="20" t="n"/>
      <c r="B175" s="20" t="n"/>
      <c r="C175" s="20" t="n"/>
      <c r="D175" s="20" t="n"/>
      <c r="E175" s="20" t="n"/>
      <c r="F175" s="17" t="n"/>
      <c r="G175" s="26">
        <f>IF(OR(E175="",F175=""),"",E175*F175)</f>
        <v/>
      </c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7">
        <f>IF(OR(I175="",G175="",LEFT(H175,9)&lt;&gt;"Incentivo",VALOR_CAPTADO=0),"",SUMIFS($G$8:$G$207,$I$8:$I$207,I175,$H$8:$H$207,"Incentivo*")/VALOR_CAPTADO)</f>
        <v/>
      </c>
      <c r="Q175" s="21">
        <f>IF(AND(B175="",G175=""),"",IF(IF(AND(B175="",G175=""),"",IF(OR(E175="",F175=""),"🟡 Falta quantidade ou valor. ","")&amp;IF(H175="","🟡 Informe a fonte. ","")&amp;IF(K175="","🟡 Classifique a categoria de limite. ","")&amp;IF(TRIM(M175)="","🔴 Sem justificativa de vínculo: se não explica, não coloque. ","")&amp;IF(N175&lt;&gt;"Sim","🟡 Preço de mercado não conferido. ","")&amp;IF(O175="Sim","🔴 Possível DUPLA COBERTURA: a mesma despesa não pode ser paga duas vezes. ","")&amp;IF(AND(L175="Sim",K175&lt;&gt;"Remuneração do proponente"),"🟡 Pessoa vinculada: este valor SOMA no limite de remuneração do proponente. ","")&amp;IF(P175="","",IF(P175&gt;L_FORNECEDOR,"🔴 Fornecedor acima do limite sobre o valor captado (confira exceções). ",IF(P175&gt;=L_FORNECEDOR*MARGEM,"🟡 Fornecedor perto do limite. ","")))&amp;IF(AND(LEFT(K175,5)="Cachê",F175&lt;&gt;""),IF(F175&gt;IFERROR(VLOOKUP(K175,TAB_CATEGORIAS,2,FALSE),9E+99),"🔴 Cachê acima do limite: só com outras fontes ou apreciação da CNIC. ",""),"")&amp;IF(AND(LEFT(H175,6)="Outras",K175&lt;&gt;""),"🟡 Outras fontes: confirme que o recurso existe e está comprometido. ",""))="","🟢 CONFERIDO",IF(AND(B175="",G175=""),"",IF(OR(E175="",F175=""),"🟡 Falta quantidade ou valor. ","")&amp;IF(H175="","🟡 Informe a fonte. ","")&amp;IF(K175="","🟡 Classifique a categoria de limite. ","")&amp;IF(TRIM(M175)="","🔴 Sem justificativa de vínculo: se não explica, não coloque. ","")&amp;IF(N175&lt;&gt;"Sim","🟡 Preço de mercado não conferido. ","")&amp;IF(O175="Sim","🔴 Possível DUPLA COBERTURA: a mesma despesa não pode ser paga duas vezes. ","")&amp;IF(AND(L175="Sim",K175&lt;&gt;"Remuneração do proponente"),"🟡 Pessoa vinculada: este valor SOMA no limite de remuneração do proponente. ","")&amp;IF(P175="","",IF(P175&gt;L_FORNECEDOR,"🔴 Fornecedor acima do limite sobre o valor captado (confira exceções). ",IF(P175&gt;=L_FORNECEDOR*MARGEM,"🟡 Fornecedor perto do limite. ","")))&amp;IF(AND(LEFT(K175,5)="Cachê",F175&lt;&gt;""),IF(F175&gt;IFERROR(VLOOKUP(K175,TAB_CATEGORIAS,2,FALSE),9E+99),"🔴 Cachê acima do limite: só com outras fontes ou apreciação da CNIC. ",""),"")&amp;IF(AND(LEFT(H175,6)="Outras",K175&lt;&gt;""),"🟡 Outras fontes: confirme que o recurso existe e está comprometido. ",""))))</f>
        <v/>
      </c>
    </row>
    <row r="176">
      <c r="A176" s="20" t="n"/>
      <c r="B176" s="20" t="n"/>
      <c r="C176" s="20" t="n"/>
      <c r="D176" s="20" t="n"/>
      <c r="E176" s="20" t="n"/>
      <c r="F176" s="17" t="n"/>
      <c r="G176" s="26">
        <f>IF(OR(E176="",F176=""),"",E176*F176)</f>
        <v/>
      </c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7">
        <f>IF(OR(I176="",G176="",LEFT(H176,9)&lt;&gt;"Incentivo",VALOR_CAPTADO=0),"",SUMIFS($G$8:$G$207,$I$8:$I$207,I176,$H$8:$H$207,"Incentivo*")/VALOR_CAPTADO)</f>
        <v/>
      </c>
      <c r="Q176" s="21">
        <f>IF(AND(B176="",G176=""),"",IF(IF(AND(B176="",G176=""),"",IF(OR(E176="",F176=""),"🟡 Falta quantidade ou valor. ","")&amp;IF(H176="","🟡 Informe a fonte. ","")&amp;IF(K176="","🟡 Classifique a categoria de limite. ","")&amp;IF(TRIM(M176)="","🔴 Sem justificativa de vínculo: se não explica, não coloque. ","")&amp;IF(N176&lt;&gt;"Sim","🟡 Preço de mercado não conferido. ","")&amp;IF(O176="Sim","🔴 Possível DUPLA COBERTURA: a mesma despesa não pode ser paga duas vezes. ","")&amp;IF(AND(L176="Sim",K176&lt;&gt;"Remuneração do proponente"),"🟡 Pessoa vinculada: este valor SOMA no limite de remuneração do proponente. ","")&amp;IF(P176="","",IF(P176&gt;L_FORNECEDOR,"🔴 Fornecedor acima do limite sobre o valor captado (confira exceções). ",IF(P176&gt;=L_FORNECEDOR*MARGEM,"🟡 Fornecedor perto do limite. ","")))&amp;IF(AND(LEFT(K176,5)="Cachê",F176&lt;&gt;""),IF(F176&gt;IFERROR(VLOOKUP(K176,TAB_CATEGORIAS,2,FALSE),9E+99),"🔴 Cachê acima do limite: só com outras fontes ou apreciação da CNIC. ",""),"")&amp;IF(AND(LEFT(H176,6)="Outras",K176&lt;&gt;""),"🟡 Outras fontes: confirme que o recurso existe e está comprometido. ",""))="","🟢 CONFERIDO",IF(AND(B176="",G176=""),"",IF(OR(E176="",F176=""),"🟡 Falta quantidade ou valor. ","")&amp;IF(H176="","🟡 Informe a fonte. ","")&amp;IF(K176="","🟡 Classifique a categoria de limite. ","")&amp;IF(TRIM(M176)="","🔴 Sem justificativa de vínculo: se não explica, não coloque. ","")&amp;IF(N176&lt;&gt;"Sim","🟡 Preço de mercado não conferido. ","")&amp;IF(O176="Sim","🔴 Possível DUPLA COBERTURA: a mesma despesa não pode ser paga duas vezes. ","")&amp;IF(AND(L176="Sim",K176&lt;&gt;"Remuneração do proponente"),"🟡 Pessoa vinculada: este valor SOMA no limite de remuneração do proponente. ","")&amp;IF(P176="","",IF(P176&gt;L_FORNECEDOR,"🔴 Fornecedor acima do limite sobre o valor captado (confira exceções). ",IF(P176&gt;=L_FORNECEDOR*MARGEM,"🟡 Fornecedor perto do limite. ","")))&amp;IF(AND(LEFT(K176,5)="Cachê",F176&lt;&gt;""),IF(F176&gt;IFERROR(VLOOKUP(K176,TAB_CATEGORIAS,2,FALSE),9E+99),"🔴 Cachê acima do limite: só com outras fontes ou apreciação da CNIC. ",""),"")&amp;IF(AND(LEFT(H176,6)="Outras",K176&lt;&gt;""),"🟡 Outras fontes: confirme que o recurso existe e está comprometido. ",""))))</f>
        <v/>
      </c>
    </row>
    <row r="177">
      <c r="A177" s="20" t="n"/>
      <c r="B177" s="20" t="n"/>
      <c r="C177" s="20" t="n"/>
      <c r="D177" s="20" t="n"/>
      <c r="E177" s="20" t="n"/>
      <c r="F177" s="17" t="n"/>
      <c r="G177" s="26">
        <f>IF(OR(E177="",F177=""),"",E177*F177)</f>
        <v/>
      </c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7">
        <f>IF(OR(I177="",G177="",LEFT(H177,9)&lt;&gt;"Incentivo",VALOR_CAPTADO=0),"",SUMIFS($G$8:$G$207,$I$8:$I$207,I177,$H$8:$H$207,"Incentivo*")/VALOR_CAPTADO)</f>
        <v/>
      </c>
      <c r="Q177" s="21">
        <f>IF(AND(B177="",G177=""),"",IF(IF(AND(B177="",G177=""),"",IF(OR(E177="",F177=""),"🟡 Falta quantidade ou valor. ","")&amp;IF(H177="","🟡 Informe a fonte. ","")&amp;IF(K177="","🟡 Classifique a categoria de limite. ","")&amp;IF(TRIM(M177)="","🔴 Sem justificativa de vínculo: se não explica, não coloque. ","")&amp;IF(N177&lt;&gt;"Sim","🟡 Preço de mercado não conferido. ","")&amp;IF(O177="Sim","🔴 Possível DUPLA COBERTURA: a mesma despesa não pode ser paga duas vezes. ","")&amp;IF(AND(L177="Sim",K177&lt;&gt;"Remuneração do proponente"),"🟡 Pessoa vinculada: este valor SOMA no limite de remuneração do proponente. ","")&amp;IF(P177="","",IF(P177&gt;L_FORNECEDOR,"🔴 Fornecedor acima do limite sobre o valor captado (confira exceções). ",IF(P177&gt;=L_FORNECEDOR*MARGEM,"🟡 Fornecedor perto do limite. ","")))&amp;IF(AND(LEFT(K177,5)="Cachê",F177&lt;&gt;""),IF(F177&gt;IFERROR(VLOOKUP(K177,TAB_CATEGORIAS,2,FALSE),9E+99),"🔴 Cachê acima do limite: só com outras fontes ou apreciação da CNIC. ",""),"")&amp;IF(AND(LEFT(H177,6)="Outras",K177&lt;&gt;""),"🟡 Outras fontes: confirme que o recurso existe e está comprometido. ",""))="","🟢 CONFERIDO",IF(AND(B177="",G177=""),"",IF(OR(E177="",F177=""),"🟡 Falta quantidade ou valor. ","")&amp;IF(H177="","🟡 Informe a fonte. ","")&amp;IF(K177="","🟡 Classifique a categoria de limite. ","")&amp;IF(TRIM(M177)="","🔴 Sem justificativa de vínculo: se não explica, não coloque. ","")&amp;IF(N177&lt;&gt;"Sim","🟡 Preço de mercado não conferido. ","")&amp;IF(O177="Sim","🔴 Possível DUPLA COBERTURA: a mesma despesa não pode ser paga duas vezes. ","")&amp;IF(AND(L177="Sim",K177&lt;&gt;"Remuneração do proponente"),"🟡 Pessoa vinculada: este valor SOMA no limite de remuneração do proponente. ","")&amp;IF(P177="","",IF(P177&gt;L_FORNECEDOR,"🔴 Fornecedor acima do limite sobre o valor captado (confira exceções). ",IF(P177&gt;=L_FORNECEDOR*MARGEM,"🟡 Fornecedor perto do limite. ","")))&amp;IF(AND(LEFT(K177,5)="Cachê",F177&lt;&gt;""),IF(F177&gt;IFERROR(VLOOKUP(K177,TAB_CATEGORIAS,2,FALSE),9E+99),"🔴 Cachê acima do limite: só com outras fontes ou apreciação da CNIC. ",""),"")&amp;IF(AND(LEFT(H177,6)="Outras",K177&lt;&gt;""),"🟡 Outras fontes: confirme que o recurso existe e está comprometido. ",""))))</f>
        <v/>
      </c>
    </row>
    <row r="178">
      <c r="A178" s="20" t="n"/>
      <c r="B178" s="20" t="n"/>
      <c r="C178" s="20" t="n"/>
      <c r="D178" s="20" t="n"/>
      <c r="E178" s="20" t="n"/>
      <c r="F178" s="17" t="n"/>
      <c r="G178" s="26">
        <f>IF(OR(E178="",F178=""),"",E178*F178)</f>
        <v/>
      </c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7">
        <f>IF(OR(I178="",G178="",LEFT(H178,9)&lt;&gt;"Incentivo",VALOR_CAPTADO=0),"",SUMIFS($G$8:$G$207,$I$8:$I$207,I178,$H$8:$H$207,"Incentivo*")/VALOR_CAPTADO)</f>
        <v/>
      </c>
      <c r="Q178" s="21">
        <f>IF(AND(B178="",G178=""),"",IF(IF(AND(B178="",G178=""),"",IF(OR(E178="",F178=""),"🟡 Falta quantidade ou valor. ","")&amp;IF(H178="","🟡 Informe a fonte. ","")&amp;IF(K178="","🟡 Classifique a categoria de limite. ","")&amp;IF(TRIM(M178)="","🔴 Sem justificativa de vínculo: se não explica, não coloque. ","")&amp;IF(N178&lt;&gt;"Sim","🟡 Preço de mercado não conferido. ","")&amp;IF(O178="Sim","🔴 Possível DUPLA COBERTURA: a mesma despesa não pode ser paga duas vezes. ","")&amp;IF(AND(L178="Sim",K178&lt;&gt;"Remuneração do proponente"),"🟡 Pessoa vinculada: este valor SOMA no limite de remuneração do proponente. ","")&amp;IF(P178="","",IF(P178&gt;L_FORNECEDOR,"🔴 Fornecedor acima do limite sobre o valor captado (confira exceções). ",IF(P178&gt;=L_FORNECEDOR*MARGEM,"🟡 Fornecedor perto do limite. ","")))&amp;IF(AND(LEFT(K178,5)="Cachê",F178&lt;&gt;""),IF(F178&gt;IFERROR(VLOOKUP(K178,TAB_CATEGORIAS,2,FALSE),9E+99),"🔴 Cachê acima do limite: só com outras fontes ou apreciação da CNIC. ",""),"")&amp;IF(AND(LEFT(H178,6)="Outras",K178&lt;&gt;""),"🟡 Outras fontes: confirme que o recurso existe e está comprometido. ",""))="","🟢 CONFERIDO",IF(AND(B178="",G178=""),"",IF(OR(E178="",F178=""),"🟡 Falta quantidade ou valor. ","")&amp;IF(H178="","🟡 Informe a fonte. ","")&amp;IF(K178="","🟡 Classifique a categoria de limite. ","")&amp;IF(TRIM(M178)="","🔴 Sem justificativa de vínculo: se não explica, não coloque. ","")&amp;IF(N178&lt;&gt;"Sim","🟡 Preço de mercado não conferido. ","")&amp;IF(O178="Sim","🔴 Possível DUPLA COBERTURA: a mesma despesa não pode ser paga duas vezes. ","")&amp;IF(AND(L178="Sim",K178&lt;&gt;"Remuneração do proponente"),"🟡 Pessoa vinculada: este valor SOMA no limite de remuneração do proponente. ","")&amp;IF(P178="","",IF(P178&gt;L_FORNECEDOR,"🔴 Fornecedor acima do limite sobre o valor captado (confira exceções). ",IF(P178&gt;=L_FORNECEDOR*MARGEM,"🟡 Fornecedor perto do limite. ","")))&amp;IF(AND(LEFT(K178,5)="Cachê",F178&lt;&gt;""),IF(F178&gt;IFERROR(VLOOKUP(K178,TAB_CATEGORIAS,2,FALSE),9E+99),"🔴 Cachê acima do limite: só com outras fontes ou apreciação da CNIC. ",""),"")&amp;IF(AND(LEFT(H178,6)="Outras",K178&lt;&gt;""),"🟡 Outras fontes: confirme que o recurso existe e está comprometido. ",""))))</f>
        <v/>
      </c>
    </row>
    <row r="179">
      <c r="A179" s="20" t="n"/>
      <c r="B179" s="20" t="n"/>
      <c r="C179" s="20" t="n"/>
      <c r="D179" s="20" t="n"/>
      <c r="E179" s="20" t="n"/>
      <c r="F179" s="17" t="n"/>
      <c r="G179" s="26">
        <f>IF(OR(E179="",F179=""),"",E179*F179)</f>
        <v/>
      </c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7">
        <f>IF(OR(I179="",G179="",LEFT(H179,9)&lt;&gt;"Incentivo",VALOR_CAPTADO=0),"",SUMIFS($G$8:$G$207,$I$8:$I$207,I179,$H$8:$H$207,"Incentivo*")/VALOR_CAPTADO)</f>
        <v/>
      </c>
      <c r="Q179" s="21">
        <f>IF(AND(B179="",G179=""),"",IF(IF(AND(B179="",G179=""),"",IF(OR(E179="",F179=""),"🟡 Falta quantidade ou valor. ","")&amp;IF(H179="","🟡 Informe a fonte. ","")&amp;IF(K179="","🟡 Classifique a categoria de limite. ","")&amp;IF(TRIM(M179)="","🔴 Sem justificativa de vínculo: se não explica, não coloque. ","")&amp;IF(N179&lt;&gt;"Sim","🟡 Preço de mercado não conferido. ","")&amp;IF(O179="Sim","🔴 Possível DUPLA COBERTURA: a mesma despesa não pode ser paga duas vezes. ","")&amp;IF(AND(L179="Sim",K179&lt;&gt;"Remuneração do proponente"),"🟡 Pessoa vinculada: este valor SOMA no limite de remuneração do proponente. ","")&amp;IF(P179="","",IF(P179&gt;L_FORNECEDOR,"🔴 Fornecedor acima do limite sobre o valor captado (confira exceções). ",IF(P179&gt;=L_FORNECEDOR*MARGEM,"🟡 Fornecedor perto do limite. ","")))&amp;IF(AND(LEFT(K179,5)="Cachê",F179&lt;&gt;""),IF(F179&gt;IFERROR(VLOOKUP(K179,TAB_CATEGORIAS,2,FALSE),9E+99),"🔴 Cachê acima do limite: só com outras fontes ou apreciação da CNIC. ",""),"")&amp;IF(AND(LEFT(H179,6)="Outras",K179&lt;&gt;""),"🟡 Outras fontes: confirme que o recurso existe e está comprometido. ",""))="","🟢 CONFERIDO",IF(AND(B179="",G179=""),"",IF(OR(E179="",F179=""),"🟡 Falta quantidade ou valor. ","")&amp;IF(H179="","🟡 Informe a fonte. ","")&amp;IF(K179="","🟡 Classifique a categoria de limite. ","")&amp;IF(TRIM(M179)="","🔴 Sem justificativa de vínculo: se não explica, não coloque. ","")&amp;IF(N179&lt;&gt;"Sim","🟡 Preço de mercado não conferido. ","")&amp;IF(O179="Sim","🔴 Possível DUPLA COBERTURA: a mesma despesa não pode ser paga duas vezes. ","")&amp;IF(AND(L179="Sim",K179&lt;&gt;"Remuneração do proponente"),"🟡 Pessoa vinculada: este valor SOMA no limite de remuneração do proponente. ","")&amp;IF(P179="","",IF(P179&gt;L_FORNECEDOR,"🔴 Fornecedor acima do limite sobre o valor captado (confira exceções). ",IF(P179&gt;=L_FORNECEDOR*MARGEM,"🟡 Fornecedor perto do limite. ","")))&amp;IF(AND(LEFT(K179,5)="Cachê",F179&lt;&gt;""),IF(F179&gt;IFERROR(VLOOKUP(K179,TAB_CATEGORIAS,2,FALSE),9E+99),"🔴 Cachê acima do limite: só com outras fontes ou apreciação da CNIC. ",""),"")&amp;IF(AND(LEFT(H179,6)="Outras",K179&lt;&gt;""),"🟡 Outras fontes: confirme que o recurso existe e está comprometido. ",""))))</f>
        <v/>
      </c>
    </row>
    <row r="180">
      <c r="A180" s="20" t="n"/>
      <c r="B180" s="20" t="n"/>
      <c r="C180" s="20" t="n"/>
      <c r="D180" s="20" t="n"/>
      <c r="E180" s="20" t="n"/>
      <c r="F180" s="17" t="n"/>
      <c r="G180" s="26">
        <f>IF(OR(E180="",F180=""),"",E180*F180)</f>
        <v/>
      </c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7">
        <f>IF(OR(I180="",G180="",LEFT(H180,9)&lt;&gt;"Incentivo",VALOR_CAPTADO=0),"",SUMIFS($G$8:$G$207,$I$8:$I$207,I180,$H$8:$H$207,"Incentivo*")/VALOR_CAPTADO)</f>
        <v/>
      </c>
      <c r="Q180" s="21">
        <f>IF(AND(B180="",G180=""),"",IF(IF(AND(B180="",G180=""),"",IF(OR(E180="",F180=""),"🟡 Falta quantidade ou valor. ","")&amp;IF(H180="","🟡 Informe a fonte. ","")&amp;IF(K180="","🟡 Classifique a categoria de limite. ","")&amp;IF(TRIM(M180)="","🔴 Sem justificativa de vínculo: se não explica, não coloque. ","")&amp;IF(N180&lt;&gt;"Sim","🟡 Preço de mercado não conferido. ","")&amp;IF(O180="Sim","🔴 Possível DUPLA COBERTURA: a mesma despesa não pode ser paga duas vezes. ","")&amp;IF(AND(L180="Sim",K180&lt;&gt;"Remuneração do proponente"),"🟡 Pessoa vinculada: este valor SOMA no limite de remuneração do proponente. ","")&amp;IF(P180="","",IF(P180&gt;L_FORNECEDOR,"🔴 Fornecedor acima do limite sobre o valor captado (confira exceções). ",IF(P180&gt;=L_FORNECEDOR*MARGEM,"🟡 Fornecedor perto do limite. ","")))&amp;IF(AND(LEFT(K180,5)="Cachê",F180&lt;&gt;""),IF(F180&gt;IFERROR(VLOOKUP(K180,TAB_CATEGORIAS,2,FALSE),9E+99),"🔴 Cachê acima do limite: só com outras fontes ou apreciação da CNIC. ",""),"")&amp;IF(AND(LEFT(H180,6)="Outras",K180&lt;&gt;""),"🟡 Outras fontes: confirme que o recurso existe e está comprometido. ",""))="","🟢 CONFERIDO",IF(AND(B180="",G180=""),"",IF(OR(E180="",F180=""),"🟡 Falta quantidade ou valor. ","")&amp;IF(H180="","🟡 Informe a fonte. ","")&amp;IF(K180="","🟡 Classifique a categoria de limite. ","")&amp;IF(TRIM(M180)="","🔴 Sem justificativa de vínculo: se não explica, não coloque. ","")&amp;IF(N180&lt;&gt;"Sim","🟡 Preço de mercado não conferido. ","")&amp;IF(O180="Sim","🔴 Possível DUPLA COBERTURA: a mesma despesa não pode ser paga duas vezes. ","")&amp;IF(AND(L180="Sim",K180&lt;&gt;"Remuneração do proponente"),"🟡 Pessoa vinculada: este valor SOMA no limite de remuneração do proponente. ","")&amp;IF(P180="","",IF(P180&gt;L_FORNECEDOR,"🔴 Fornecedor acima do limite sobre o valor captado (confira exceções). ",IF(P180&gt;=L_FORNECEDOR*MARGEM,"🟡 Fornecedor perto do limite. ","")))&amp;IF(AND(LEFT(K180,5)="Cachê",F180&lt;&gt;""),IF(F180&gt;IFERROR(VLOOKUP(K180,TAB_CATEGORIAS,2,FALSE),9E+99),"🔴 Cachê acima do limite: só com outras fontes ou apreciação da CNIC. ",""),"")&amp;IF(AND(LEFT(H180,6)="Outras",K180&lt;&gt;""),"🟡 Outras fontes: confirme que o recurso existe e está comprometido. ",""))))</f>
        <v/>
      </c>
    </row>
    <row r="181">
      <c r="A181" s="20" t="n"/>
      <c r="B181" s="20" t="n"/>
      <c r="C181" s="20" t="n"/>
      <c r="D181" s="20" t="n"/>
      <c r="E181" s="20" t="n"/>
      <c r="F181" s="17" t="n"/>
      <c r="G181" s="26">
        <f>IF(OR(E181="",F181=""),"",E181*F181)</f>
        <v/>
      </c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7">
        <f>IF(OR(I181="",G181="",LEFT(H181,9)&lt;&gt;"Incentivo",VALOR_CAPTADO=0),"",SUMIFS($G$8:$G$207,$I$8:$I$207,I181,$H$8:$H$207,"Incentivo*")/VALOR_CAPTADO)</f>
        <v/>
      </c>
      <c r="Q181" s="21">
        <f>IF(AND(B181="",G181=""),"",IF(IF(AND(B181="",G181=""),"",IF(OR(E181="",F181=""),"🟡 Falta quantidade ou valor. ","")&amp;IF(H181="","🟡 Informe a fonte. ","")&amp;IF(K181="","🟡 Classifique a categoria de limite. ","")&amp;IF(TRIM(M181)="","🔴 Sem justificativa de vínculo: se não explica, não coloque. ","")&amp;IF(N181&lt;&gt;"Sim","🟡 Preço de mercado não conferido. ","")&amp;IF(O181="Sim","🔴 Possível DUPLA COBERTURA: a mesma despesa não pode ser paga duas vezes. ","")&amp;IF(AND(L181="Sim",K181&lt;&gt;"Remuneração do proponente"),"🟡 Pessoa vinculada: este valor SOMA no limite de remuneração do proponente. ","")&amp;IF(P181="","",IF(P181&gt;L_FORNECEDOR,"🔴 Fornecedor acima do limite sobre o valor captado (confira exceções). ",IF(P181&gt;=L_FORNECEDOR*MARGEM,"🟡 Fornecedor perto do limite. ","")))&amp;IF(AND(LEFT(K181,5)="Cachê",F181&lt;&gt;""),IF(F181&gt;IFERROR(VLOOKUP(K181,TAB_CATEGORIAS,2,FALSE),9E+99),"🔴 Cachê acima do limite: só com outras fontes ou apreciação da CNIC. ",""),"")&amp;IF(AND(LEFT(H181,6)="Outras",K181&lt;&gt;""),"🟡 Outras fontes: confirme que o recurso existe e está comprometido. ",""))="","🟢 CONFERIDO",IF(AND(B181="",G181=""),"",IF(OR(E181="",F181=""),"🟡 Falta quantidade ou valor. ","")&amp;IF(H181="","🟡 Informe a fonte. ","")&amp;IF(K181="","🟡 Classifique a categoria de limite. ","")&amp;IF(TRIM(M181)="","🔴 Sem justificativa de vínculo: se não explica, não coloque. ","")&amp;IF(N181&lt;&gt;"Sim","🟡 Preço de mercado não conferido. ","")&amp;IF(O181="Sim","🔴 Possível DUPLA COBERTURA: a mesma despesa não pode ser paga duas vezes. ","")&amp;IF(AND(L181="Sim",K181&lt;&gt;"Remuneração do proponente"),"🟡 Pessoa vinculada: este valor SOMA no limite de remuneração do proponente. ","")&amp;IF(P181="","",IF(P181&gt;L_FORNECEDOR,"🔴 Fornecedor acima do limite sobre o valor captado (confira exceções). ",IF(P181&gt;=L_FORNECEDOR*MARGEM,"🟡 Fornecedor perto do limite. ","")))&amp;IF(AND(LEFT(K181,5)="Cachê",F181&lt;&gt;""),IF(F181&gt;IFERROR(VLOOKUP(K181,TAB_CATEGORIAS,2,FALSE),9E+99),"🔴 Cachê acima do limite: só com outras fontes ou apreciação da CNIC. ",""),"")&amp;IF(AND(LEFT(H181,6)="Outras",K181&lt;&gt;""),"🟡 Outras fontes: confirme que o recurso existe e está comprometido. ",""))))</f>
        <v/>
      </c>
    </row>
    <row r="182">
      <c r="A182" s="20" t="n"/>
      <c r="B182" s="20" t="n"/>
      <c r="C182" s="20" t="n"/>
      <c r="D182" s="20" t="n"/>
      <c r="E182" s="20" t="n"/>
      <c r="F182" s="17" t="n"/>
      <c r="G182" s="26">
        <f>IF(OR(E182="",F182=""),"",E182*F182)</f>
        <v/>
      </c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27">
        <f>IF(OR(I182="",G182="",LEFT(H182,9)&lt;&gt;"Incentivo",VALOR_CAPTADO=0),"",SUMIFS($G$8:$G$207,$I$8:$I$207,I182,$H$8:$H$207,"Incentivo*")/VALOR_CAPTADO)</f>
        <v/>
      </c>
      <c r="Q182" s="21">
        <f>IF(AND(B182="",G182=""),"",IF(IF(AND(B182="",G182=""),"",IF(OR(E182="",F182=""),"🟡 Falta quantidade ou valor. ","")&amp;IF(H182="","🟡 Informe a fonte. ","")&amp;IF(K182="","🟡 Classifique a categoria de limite. ","")&amp;IF(TRIM(M182)="","🔴 Sem justificativa de vínculo: se não explica, não coloque. ","")&amp;IF(N182&lt;&gt;"Sim","🟡 Preço de mercado não conferido. ","")&amp;IF(O182="Sim","🔴 Possível DUPLA COBERTURA: a mesma despesa não pode ser paga duas vezes. ","")&amp;IF(AND(L182="Sim",K182&lt;&gt;"Remuneração do proponente"),"🟡 Pessoa vinculada: este valor SOMA no limite de remuneração do proponente. ","")&amp;IF(P182="","",IF(P182&gt;L_FORNECEDOR,"🔴 Fornecedor acima do limite sobre o valor captado (confira exceções). ",IF(P182&gt;=L_FORNECEDOR*MARGEM,"🟡 Fornecedor perto do limite. ","")))&amp;IF(AND(LEFT(K182,5)="Cachê",F182&lt;&gt;""),IF(F182&gt;IFERROR(VLOOKUP(K182,TAB_CATEGORIAS,2,FALSE),9E+99),"🔴 Cachê acima do limite: só com outras fontes ou apreciação da CNIC. ",""),"")&amp;IF(AND(LEFT(H182,6)="Outras",K182&lt;&gt;""),"🟡 Outras fontes: confirme que o recurso existe e está comprometido. ",""))="","🟢 CONFERIDO",IF(AND(B182="",G182=""),"",IF(OR(E182="",F182=""),"🟡 Falta quantidade ou valor. ","")&amp;IF(H182="","🟡 Informe a fonte. ","")&amp;IF(K182="","🟡 Classifique a categoria de limite. ","")&amp;IF(TRIM(M182)="","🔴 Sem justificativa de vínculo: se não explica, não coloque. ","")&amp;IF(N182&lt;&gt;"Sim","🟡 Preço de mercado não conferido. ","")&amp;IF(O182="Sim","🔴 Possível DUPLA COBERTURA: a mesma despesa não pode ser paga duas vezes. ","")&amp;IF(AND(L182="Sim",K182&lt;&gt;"Remuneração do proponente"),"🟡 Pessoa vinculada: este valor SOMA no limite de remuneração do proponente. ","")&amp;IF(P182="","",IF(P182&gt;L_FORNECEDOR,"🔴 Fornecedor acima do limite sobre o valor captado (confira exceções). ",IF(P182&gt;=L_FORNECEDOR*MARGEM,"🟡 Fornecedor perto do limite. ","")))&amp;IF(AND(LEFT(K182,5)="Cachê",F182&lt;&gt;""),IF(F182&gt;IFERROR(VLOOKUP(K182,TAB_CATEGORIAS,2,FALSE),9E+99),"🔴 Cachê acima do limite: só com outras fontes ou apreciação da CNIC. ",""),"")&amp;IF(AND(LEFT(H182,6)="Outras",K182&lt;&gt;""),"🟡 Outras fontes: confirme que o recurso existe e está comprometido. ",""))))</f>
        <v/>
      </c>
    </row>
    <row r="183">
      <c r="A183" s="20" t="n"/>
      <c r="B183" s="20" t="n"/>
      <c r="C183" s="20" t="n"/>
      <c r="D183" s="20" t="n"/>
      <c r="E183" s="20" t="n"/>
      <c r="F183" s="17" t="n"/>
      <c r="G183" s="26">
        <f>IF(OR(E183="",F183=""),"",E183*F183)</f>
        <v/>
      </c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7">
        <f>IF(OR(I183="",G183="",LEFT(H183,9)&lt;&gt;"Incentivo",VALOR_CAPTADO=0),"",SUMIFS($G$8:$G$207,$I$8:$I$207,I183,$H$8:$H$207,"Incentivo*")/VALOR_CAPTADO)</f>
        <v/>
      </c>
      <c r="Q183" s="21">
        <f>IF(AND(B183="",G183=""),"",IF(IF(AND(B183="",G183=""),"",IF(OR(E183="",F183=""),"🟡 Falta quantidade ou valor. ","")&amp;IF(H183="","🟡 Informe a fonte. ","")&amp;IF(K183="","🟡 Classifique a categoria de limite. ","")&amp;IF(TRIM(M183)="","🔴 Sem justificativa de vínculo: se não explica, não coloque. ","")&amp;IF(N183&lt;&gt;"Sim","🟡 Preço de mercado não conferido. ","")&amp;IF(O183="Sim","🔴 Possível DUPLA COBERTURA: a mesma despesa não pode ser paga duas vezes. ","")&amp;IF(AND(L183="Sim",K183&lt;&gt;"Remuneração do proponente"),"🟡 Pessoa vinculada: este valor SOMA no limite de remuneração do proponente. ","")&amp;IF(P183="","",IF(P183&gt;L_FORNECEDOR,"🔴 Fornecedor acima do limite sobre o valor captado (confira exceções). ",IF(P183&gt;=L_FORNECEDOR*MARGEM,"🟡 Fornecedor perto do limite. ","")))&amp;IF(AND(LEFT(K183,5)="Cachê",F183&lt;&gt;""),IF(F183&gt;IFERROR(VLOOKUP(K183,TAB_CATEGORIAS,2,FALSE),9E+99),"🔴 Cachê acima do limite: só com outras fontes ou apreciação da CNIC. ",""),"")&amp;IF(AND(LEFT(H183,6)="Outras",K183&lt;&gt;""),"🟡 Outras fontes: confirme que o recurso existe e está comprometido. ",""))="","🟢 CONFERIDO",IF(AND(B183="",G183=""),"",IF(OR(E183="",F183=""),"🟡 Falta quantidade ou valor. ","")&amp;IF(H183="","🟡 Informe a fonte. ","")&amp;IF(K183="","🟡 Classifique a categoria de limite. ","")&amp;IF(TRIM(M183)="","🔴 Sem justificativa de vínculo: se não explica, não coloque. ","")&amp;IF(N183&lt;&gt;"Sim","🟡 Preço de mercado não conferido. ","")&amp;IF(O183="Sim","🔴 Possível DUPLA COBERTURA: a mesma despesa não pode ser paga duas vezes. ","")&amp;IF(AND(L183="Sim",K183&lt;&gt;"Remuneração do proponente"),"🟡 Pessoa vinculada: este valor SOMA no limite de remuneração do proponente. ","")&amp;IF(P183="","",IF(P183&gt;L_FORNECEDOR,"🔴 Fornecedor acima do limite sobre o valor captado (confira exceções). ",IF(P183&gt;=L_FORNECEDOR*MARGEM,"🟡 Fornecedor perto do limite. ","")))&amp;IF(AND(LEFT(K183,5)="Cachê",F183&lt;&gt;""),IF(F183&gt;IFERROR(VLOOKUP(K183,TAB_CATEGORIAS,2,FALSE),9E+99),"🔴 Cachê acima do limite: só com outras fontes ou apreciação da CNIC. ",""),"")&amp;IF(AND(LEFT(H183,6)="Outras",K183&lt;&gt;""),"🟡 Outras fontes: confirme que o recurso existe e está comprometido. ",""))))</f>
        <v/>
      </c>
    </row>
    <row r="184">
      <c r="A184" s="20" t="n"/>
      <c r="B184" s="20" t="n"/>
      <c r="C184" s="20" t="n"/>
      <c r="D184" s="20" t="n"/>
      <c r="E184" s="20" t="n"/>
      <c r="F184" s="17" t="n"/>
      <c r="G184" s="26">
        <f>IF(OR(E184="",F184=""),"",E184*F184)</f>
        <v/>
      </c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7">
        <f>IF(OR(I184="",G184="",LEFT(H184,9)&lt;&gt;"Incentivo",VALOR_CAPTADO=0),"",SUMIFS($G$8:$G$207,$I$8:$I$207,I184,$H$8:$H$207,"Incentivo*")/VALOR_CAPTADO)</f>
        <v/>
      </c>
      <c r="Q184" s="21">
        <f>IF(AND(B184="",G184=""),"",IF(IF(AND(B184="",G184=""),"",IF(OR(E184="",F184=""),"🟡 Falta quantidade ou valor. ","")&amp;IF(H184="","🟡 Informe a fonte. ","")&amp;IF(K184="","🟡 Classifique a categoria de limite. ","")&amp;IF(TRIM(M184)="","🔴 Sem justificativa de vínculo: se não explica, não coloque. ","")&amp;IF(N184&lt;&gt;"Sim","🟡 Preço de mercado não conferido. ","")&amp;IF(O184="Sim","🔴 Possível DUPLA COBERTURA: a mesma despesa não pode ser paga duas vezes. ","")&amp;IF(AND(L184="Sim",K184&lt;&gt;"Remuneração do proponente"),"🟡 Pessoa vinculada: este valor SOMA no limite de remuneração do proponente. ","")&amp;IF(P184="","",IF(P184&gt;L_FORNECEDOR,"🔴 Fornecedor acima do limite sobre o valor captado (confira exceções). ",IF(P184&gt;=L_FORNECEDOR*MARGEM,"🟡 Fornecedor perto do limite. ","")))&amp;IF(AND(LEFT(K184,5)="Cachê",F184&lt;&gt;""),IF(F184&gt;IFERROR(VLOOKUP(K184,TAB_CATEGORIAS,2,FALSE),9E+99),"🔴 Cachê acima do limite: só com outras fontes ou apreciação da CNIC. ",""),"")&amp;IF(AND(LEFT(H184,6)="Outras",K184&lt;&gt;""),"🟡 Outras fontes: confirme que o recurso existe e está comprometido. ",""))="","🟢 CONFERIDO",IF(AND(B184="",G184=""),"",IF(OR(E184="",F184=""),"🟡 Falta quantidade ou valor. ","")&amp;IF(H184="","🟡 Informe a fonte. ","")&amp;IF(K184="","🟡 Classifique a categoria de limite. ","")&amp;IF(TRIM(M184)="","🔴 Sem justificativa de vínculo: se não explica, não coloque. ","")&amp;IF(N184&lt;&gt;"Sim","🟡 Preço de mercado não conferido. ","")&amp;IF(O184="Sim","🔴 Possível DUPLA COBERTURA: a mesma despesa não pode ser paga duas vezes. ","")&amp;IF(AND(L184="Sim",K184&lt;&gt;"Remuneração do proponente"),"🟡 Pessoa vinculada: este valor SOMA no limite de remuneração do proponente. ","")&amp;IF(P184="","",IF(P184&gt;L_FORNECEDOR,"🔴 Fornecedor acima do limite sobre o valor captado (confira exceções). ",IF(P184&gt;=L_FORNECEDOR*MARGEM,"🟡 Fornecedor perto do limite. ","")))&amp;IF(AND(LEFT(K184,5)="Cachê",F184&lt;&gt;""),IF(F184&gt;IFERROR(VLOOKUP(K184,TAB_CATEGORIAS,2,FALSE),9E+99),"🔴 Cachê acima do limite: só com outras fontes ou apreciação da CNIC. ",""),"")&amp;IF(AND(LEFT(H184,6)="Outras",K184&lt;&gt;""),"🟡 Outras fontes: confirme que o recurso existe e está comprometido. ",""))))</f>
        <v/>
      </c>
    </row>
    <row r="185">
      <c r="A185" s="20" t="n"/>
      <c r="B185" s="20" t="n"/>
      <c r="C185" s="20" t="n"/>
      <c r="D185" s="20" t="n"/>
      <c r="E185" s="20" t="n"/>
      <c r="F185" s="17" t="n"/>
      <c r="G185" s="26">
        <f>IF(OR(E185="",F185=""),"",E185*F185)</f>
        <v/>
      </c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7">
        <f>IF(OR(I185="",G185="",LEFT(H185,9)&lt;&gt;"Incentivo",VALOR_CAPTADO=0),"",SUMIFS($G$8:$G$207,$I$8:$I$207,I185,$H$8:$H$207,"Incentivo*")/VALOR_CAPTADO)</f>
        <v/>
      </c>
      <c r="Q185" s="21">
        <f>IF(AND(B185="",G185=""),"",IF(IF(AND(B185="",G185=""),"",IF(OR(E185="",F185=""),"🟡 Falta quantidade ou valor. ","")&amp;IF(H185="","🟡 Informe a fonte. ","")&amp;IF(K185="","🟡 Classifique a categoria de limite. ","")&amp;IF(TRIM(M185)="","🔴 Sem justificativa de vínculo: se não explica, não coloque. ","")&amp;IF(N185&lt;&gt;"Sim","🟡 Preço de mercado não conferido. ","")&amp;IF(O185="Sim","🔴 Possível DUPLA COBERTURA: a mesma despesa não pode ser paga duas vezes. ","")&amp;IF(AND(L185="Sim",K185&lt;&gt;"Remuneração do proponente"),"🟡 Pessoa vinculada: este valor SOMA no limite de remuneração do proponente. ","")&amp;IF(P185="","",IF(P185&gt;L_FORNECEDOR,"🔴 Fornecedor acima do limite sobre o valor captado (confira exceções). ",IF(P185&gt;=L_FORNECEDOR*MARGEM,"🟡 Fornecedor perto do limite. ","")))&amp;IF(AND(LEFT(K185,5)="Cachê",F185&lt;&gt;""),IF(F185&gt;IFERROR(VLOOKUP(K185,TAB_CATEGORIAS,2,FALSE),9E+99),"🔴 Cachê acima do limite: só com outras fontes ou apreciação da CNIC. ",""),"")&amp;IF(AND(LEFT(H185,6)="Outras",K185&lt;&gt;""),"🟡 Outras fontes: confirme que o recurso existe e está comprometido. ",""))="","🟢 CONFERIDO",IF(AND(B185="",G185=""),"",IF(OR(E185="",F185=""),"🟡 Falta quantidade ou valor. ","")&amp;IF(H185="","🟡 Informe a fonte. ","")&amp;IF(K185="","🟡 Classifique a categoria de limite. ","")&amp;IF(TRIM(M185)="","🔴 Sem justificativa de vínculo: se não explica, não coloque. ","")&amp;IF(N185&lt;&gt;"Sim","🟡 Preço de mercado não conferido. ","")&amp;IF(O185="Sim","🔴 Possível DUPLA COBERTURA: a mesma despesa não pode ser paga duas vezes. ","")&amp;IF(AND(L185="Sim",K185&lt;&gt;"Remuneração do proponente"),"🟡 Pessoa vinculada: este valor SOMA no limite de remuneração do proponente. ","")&amp;IF(P185="","",IF(P185&gt;L_FORNECEDOR,"🔴 Fornecedor acima do limite sobre o valor captado (confira exceções). ",IF(P185&gt;=L_FORNECEDOR*MARGEM,"🟡 Fornecedor perto do limite. ","")))&amp;IF(AND(LEFT(K185,5)="Cachê",F185&lt;&gt;""),IF(F185&gt;IFERROR(VLOOKUP(K185,TAB_CATEGORIAS,2,FALSE),9E+99),"🔴 Cachê acima do limite: só com outras fontes ou apreciação da CNIC. ",""),"")&amp;IF(AND(LEFT(H185,6)="Outras",K185&lt;&gt;""),"🟡 Outras fontes: confirme que o recurso existe e está comprometido. ",""))))</f>
        <v/>
      </c>
    </row>
    <row r="186">
      <c r="A186" s="20" t="n"/>
      <c r="B186" s="20" t="n"/>
      <c r="C186" s="20" t="n"/>
      <c r="D186" s="20" t="n"/>
      <c r="E186" s="20" t="n"/>
      <c r="F186" s="17" t="n"/>
      <c r="G186" s="26">
        <f>IF(OR(E186="",F186=""),"",E186*F186)</f>
        <v/>
      </c>
      <c r="H186" s="20" t="n"/>
      <c r="I186" s="20" t="n"/>
      <c r="J186" s="20" t="n"/>
      <c r="K186" s="20" t="n"/>
      <c r="L186" s="20" t="n"/>
      <c r="M186" s="20" t="n"/>
      <c r="N186" s="20" t="n"/>
      <c r="O186" s="20" t="n"/>
      <c r="P186" s="27">
        <f>IF(OR(I186="",G186="",LEFT(H186,9)&lt;&gt;"Incentivo",VALOR_CAPTADO=0),"",SUMIFS($G$8:$G$207,$I$8:$I$207,I186,$H$8:$H$207,"Incentivo*")/VALOR_CAPTADO)</f>
        <v/>
      </c>
      <c r="Q186" s="21">
        <f>IF(AND(B186="",G186=""),"",IF(IF(AND(B186="",G186=""),"",IF(OR(E186="",F186=""),"🟡 Falta quantidade ou valor. ","")&amp;IF(H186="","🟡 Informe a fonte. ","")&amp;IF(K186="","🟡 Classifique a categoria de limite. ","")&amp;IF(TRIM(M186)="","🔴 Sem justificativa de vínculo: se não explica, não coloque. ","")&amp;IF(N186&lt;&gt;"Sim","🟡 Preço de mercado não conferido. ","")&amp;IF(O186="Sim","🔴 Possível DUPLA COBERTURA: a mesma despesa não pode ser paga duas vezes. ","")&amp;IF(AND(L186="Sim",K186&lt;&gt;"Remuneração do proponente"),"🟡 Pessoa vinculada: este valor SOMA no limite de remuneração do proponente. ","")&amp;IF(P186="","",IF(P186&gt;L_FORNECEDOR,"🔴 Fornecedor acima do limite sobre o valor captado (confira exceções). ",IF(P186&gt;=L_FORNECEDOR*MARGEM,"🟡 Fornecedor perto do limite. ","")))&amp;IF(AND(LEFT(K186,5)="Cachê",F186&lt;&gt;""),IF(F186&gt;IFERROR(VLOOKUP(K186,TAB_CATEGORIAS,2,FALSE),9E+99),"🔴 Cachê acima do limite: só com outras fontes ou apreciação da CNIC. ",""),"")&amp;IF(AND(LEFT(H186,6)="Outras",K186&lt;&gt;""),"🟡 Outras fontes: confirme que o recurso existe e está comprometido. ",""))="","🟢 CONFERIDO",IF(AND(B186="",G186=""),"",IF(OR(E186="",F186=""),"🟡 Falta quantidade ou valor. ","")&amp;IF(H186="","🟡 Informe a fonte. ","")&amp;IF(K186="","🟡 Classifique a categoria de limite. ","")&amp;IF(TRIM(M186)="","🔴 Sem justificativa de vínculo: se não explica, não coloque. ","")&amp;IF(N186&lt;&gt;"Sim","🟡 Preço de mercado não conferido. ","")&amp;IF(O186="Sim","🔴 Possível DUPLA COBERTURA: a mesma despesa não pode ser paga duas vezes. ","")&amp;IF(AND(L186="Sim",K186&lt;&gt;"Remuneração do proponente"),"🟡 Pessoa vinculada: este valor SOMA no limite de remuneração do proponente. ","")&amp;IF(P186="","",IF(P186&gt;L_FORNECEDOR,"🔴 Fornecedor acima do limite sobre o valor captado (confira exceções). ",IF(P186&gt;=L_FORNECEDOR*MARGEM,"🟡 Fornecedor perto do limite. ","")))&amp;IF(AND(LEFT(K186,5)="Cachê",F186&lt;&gt;""),IF(F186&gt;IFERROR(VLOOKUP(K186,TAB_CATEGORIAS,2,FALSE),9E+99),"🔴 Cachê acima do limite: só com outras fontes ou apreciação da CNIC. ",""),"")&amp;IF(AND(LEFT(H186,6)="Outras",K186&lt;&gt;""),"🟡 Outras fontes: confirme que o recurso existe e está comprometido. ",""))))</f>
        <v/>
      </c>
    </row>
    <row r="187">
      <c r="A187" s="20" t="n"/>
      <c r="B187" s="20" t="n"/>
      <c r="C187" s="20" t="n"/>
      <c r="D187" s="20" t="n"/>
      <c r="E187" s="20" t="n"/>
      <c r="F187" s="17" t="n"/>
      <c r="G187" s="26">
        <f>IF(OR(E187="",F187=""),"",E187*F187)</f>
        <v/>
      </c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7">
        <f>IF(OR(I187="",G187="",LEFT(H187,9)&lt;&gt;"Incentivo",VALOR_CAPTADO=0),"",SUMIFS($G$8:$G$207,$I$8:$I$207,I187,$H$8:$H$207,"Incentivo*")/VALOR_CAPTADO)</f>
        <v/>
      </c>
      <c r="Q187" s="21">
        <f>IF(AND(B187="",G187=""),"",IF(IF(AND(B187="",G187=""),"",IF(OR(E187="",F187=""),"🟡 Falta quantidade ou valor. ","")&amp;IF(H187="","🟡 Informe a fonte. ","")&amp;IF(K187="","🟡 Classifique a categoria de limite. ","")&amp;IF(TRIM(M187)="","🔴 Sem justificativa de vínculo: se não explica, não coloque. ","")&amp;IF(N187&lt;&gt;"Sim","🟡 Preço de mercado não conferido. ","")&amp;IF(O187="Sim","🔴 Possível DUPLA COBERTURA: a mesma despesa não pode ser paga duas vezes. ","")&amp;IF(AND(L187="Sim",K187&lt;&gt;"Remuneração do proponente"),"🟡 Pessoa vinculada: este valor SOMA no limite de remuneração do proponente. ","")&amp;IF(P187="","",IF(P187&gt;L_FORNECEDOR,"🔴 Fornecedor acima do limite sobre o valor captado (confira exceções). ",IF(P187&gt;=L_FORNECEDOR*MARGEM,"🟡 Fornecedor perto do limite. ","")))&amp;IF(AND(LEFT(K187,5)="Cachê",F187&lt;&gt;""),IF(F187&gt;IFERROR(VLOOKUP(K187,TAB_CATEGORIAS,2,FALSE),9E+99),"🔴 Cachê acima do limite: só com outras fontes ou apreciação da CNIC. ",""),"")&amp;IF(AND(LEFT(H187,6)="Outras",K187&lt;&gt;""),"🟡 Outras fontes: confirme que o recurso existe e está comprometido. ",""))="","🟢 CONFERIDO",IF(AND(B187="",G187=""),"",IF(OR(E187="",F187=""),"🟡 Falta quantidade ou valor. ","")&amp;IF(H187="","🟡 Informe a fonte. ","")&amp;IF(K187="","🟡 Classifique a categoria de limite. ","")&amp;IF(TRIM(M187)="","🔴 Sem justificativa de vínculo: se não explica, não coloque. ","")&amp;IF(N187&lt;&gt;"Sim","🟡 Preço de mercado não conferido. ","")&amp;IF(O187="Sim","🔴 Possível DUPLA COBERTURA: a mesma despesa não pode ser paga duas vezes. ","")&amp;IF(AND(L187="Sim",K187&lt;&gt;"Remuneração do proponente"),"🟡 Pessoa vinculada: este valor SOMA no limite de remuneração do proponente. ","")&amp;IF(P187="","",IF(P187&gt;L_FORNECEDOR,"🔴 Fornecedor acima do limite sobre o valor captado (confira exceções). ",IF(P187&gt;=L_FORNECEDOR*MARGEM,"🟡 Fornecedor perto do limite. ","")))&amp;IF(AND(LEFT(K187,5)="Cachê",F187&lt;&gt;""),IF(F187&gt;IFERROR(VLOOKUP(K187,TAB_CATEGORIAS,2,FALSE),9E+99),"🔴 Cachê acima do limite: só com outras fontes ou apreciação da CNIC. ",""),"")&amp;IF(AND(LEFT(H187,6)="Outras",K187&lt;&gt;""),"🟡 Outras fontes: confirme que o recurso existe e está comprometido. ",""))))</f>
        <v/>
      </c>
    </row>
    <row r="188">
      <c r="A188" s="20" t="n"/>
      <c r="B188" s="20" t="n"/>
      <c r="C188" s="20" t="n"/>
      <c r="D188" s="20" t="n"/>
      <c r="E188" s="20" t="n"/>
      <c r="F188" s="17" t="n"/>
      <c r="G188" s="26">
        <f>IF(OR(E188="",F188=""),"",E188*F188)</f>
        <v/>
      </c>
      <c r="H188" s="20" t="n"/>
      <c r="I188" s="20" t="n"/>
      <c r="J188" s="20" t="n"/>
      <c r="K188" s="20" t="n"/>
      <c r="L188" s="20" t="n"/>
      <c r="M188" s="20" t="n"/>
      <c r="N188" s="20" t="n"/>
      <c r="O188" s="20" t="n"/>
      <c r="P188" s="27">
        <f>IF(OR(I188="",G188="",LEFT(H188,9)&lt;&gt;"Incentivo",VALOR_CAPTADO=0),"",SUMIFS($G$8:$G$207,$I$8:$I$207,I188,$H$8:$H$207,"Incentivo*")/VALOR_CAPTADO)</f>
        <v/>
      </c>
      <c r="Q188" s="21">
        <f>IF(AND(B188="",G188=""),"",IF(IF(AND(B188="",G188=""),"",IF(OR(E188="",F188=""),"🟡 Falta quantidade ou valor. ","")&amp;IF(H188="","🟡 Informe a fonte. ","")&amp;IF(K188="","🟡 Classifique a categoria de limite. ","")&amp;IF(TRIM(M188)="","🔴 Sem justificativa de vínculo: se não explica, não coloque. ","")&amp;IF(N188&lt;&gt;"Sim","🟡 Preço de mercado não conferido. ","")&amp;IF(O188="Sim","🔴 Possível DUPLA COBERTURA: a mesma despesa não pode ser paga duas vezes. ","")&amp;IF(AND(L188="Sim",K188&lt;&gt;"Remuneração do proponente"),"🟡 Pessoa vinculada: este valor SOMA no limite de remuneração do proponente. ","")&amp;IF(P188="","",IF(P188&gt;L_FORNECEDOR,"🔴 Fornecedor acima do limite sobre o valor captado (confira exceções). ",IF(P188&gt;=L_FORNECEDOR*MARGEM,"🟡 Fornecedor perto do limite. ","")))&amp;IF(AND(LEFT(K188,5)="Cachê",F188&lt;&gt;""),IF(F188&gt;IFERROR(VLOOKUP(K188,TAB_CATEGORIAS,2,FALSE),9E+99),"🔴 Cachê acima do limite: só com outras fontes ou apreciação da CNIC. ",""),"")&amp;IF(AND(LEFT(H188,6)="Outras",K188&lt;&gt;""),"🟡 Outras fontes: confirme que o recurso existe e está comprometido. ",""))="","🟢 CONFERIDO",IF(AND(B188="",G188=""),"",IF(OR(E188="",F188=""),"🟡 Falta quantidade ou valor. ","")&amp;IF(H188="","🟡 Informe a fonte. ","")&amp;IF(K188="","🟡 Classifique a categoria de limite. ","")&amp;IF(TRIM(M188)="","🔴 Sem justificativa de vínculo: se não explica, não coloque. ","")&amp;IF(N188&lt;&gt;"Sim","🟡 Preço de mercado não conferido. ","")&amp;IF(O188="Sim","🔴 Possível DUPLA COBERTURA: a mesma despesa não pode ser paga duas vezes. ","")&amp;IF(AND(L188="Sim",K188&lt;&gt;"Remuneração do proponente"),"🟡 Pessoa vinculada: este valor SOMA no limite de remuneração do proponente. ","")&amp;IF(P188="","",IF(P188&gt;L_FORNECEDOR,"🔴 Fornecedor acima do limite sobre o valor captado (confira exceções). ",IF(P188&gt;=L_FORNECEDOR*MARGEM,"🟡 Fornecedor perto do limite. ","")))&amp;IF(AND(LEFT(K188,5)="Cachê",F188&lt;&gt;""),IF(F188&gt;IFERROR(VLOOKUP(K188,TAB_CATEGORIAS,2,FALSE),9E+99),"🔴 Cachê acima do limite: só com outras fontes ou apreciação da CNIC. ",""),"")&amp;IF(AND(LEFT(H188,6)="Outras",K188&lt;&gt;""),"🟡 Outras fontes: confirme que o recurso existe e está comprometido. ",""))))</f>
        <v/>
      </c>
    </row>
    <row r="189">
      <c r="A189" s="20" t="n"/>
      <c r="B189" s="20" t="n"/>
      <c r="C189" s="20" t="n"/>
      <c r="D189" s="20" t="n"/>
      <c r="E189" s="20" t="n"/>
      <c r="F189" s="17" t="n"/>
      <c r="G189" s="26">
        <f>IF(OR(E189="",F189=""),"",E189*F189)</f>
        <v/>
      </c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7">
        <f>IF(OR(I189="",G189="",LEFT(H189,9)&lt;&gt;"Incentivo",VALOR_CAPTADO=0),"",SUMIFS($G$8:$G$207,$I$8:$I$207,I189,$H$8:$H$207,"Incentivo*")/VALOR_CAPTADO)</f>
        <v/>
      </c>
      <c r="Q189" s="21">
        <f>IF(AND(B189="",G189=""),"",IF(IF(AND(B189="",G189=""),"",IF(OR(E189="",F189=""),"🟡 Falta quantidade ou valor. ","")&amp;IF(H189="","🟡 Informe a fonte. ","")&amp;IF(K189="","🟡 Classifique a categoria de limite. ","")&amp;IF(TRIM(M189)="","🔴 Sem justificativa de vínculo: se não explica, não coloque. ","")&amp;IF(N189&lt;&gt;"Sim","🟡 Preço de mercado não conferido. ","")&amp;IF(O189="Sim","🔴 Possível DUPLA COBERTURA: a mesma despesa não pode ser paga duas vezes. ","")&amp;IF(AND(L189="Sim",K189&lt;&gt;"Remuneração do proponente"),"🟡 Pessoa vinculada: este valor SOMA no limite de remuneração do proponente. ","")&amp;IF(P189="","",IF(P189&gt;L_FORNECEDOR,"🔴 Fornecedor acima do limite sobre o valor captado (confira exceções). ",IF(P189&gt;=L_FORNECEDOR*MARGEM,"🟡 Fornecedor perto do limite. ","")))&amp;IF(AND(LEFT(K189,5)="Cachê",F189&lt;&gt;""),IF(F189&gt;IFERROR(VLOOKUP(K189,TAB_CATEGORIAS,2,FALSE),9E+99),"🔴 Cachê acima do limite: só com outras fontes ou apreciação da CNIC. ",""),"")&amp;IF(AND(LEFT(H189,6)="Outras",K189&lt;&gt;""),"🟡 Outras fontes: confirme que o recurso existe e está comprometido. ",""))="","🟢 CONFERIDO",IF(AND(B189="",G189=""),"",IF(OR(E189="",F189=""),"🟡 Falta quantidade ou valor. ","")&amp;IF(H189="","🟡 Informe a fonte. ","")&amp;IF(K189="","🟡 Classifique a categoria de limite. ","")&amp;IF(TRIM(M189)="","🔴 Sem justificativa de vínculo: se não explica, não coloque. ","")&amp;IF(N189&lt;&gt;"Sim","🟡 Preço de mercado não conferido. ","")&amp;IF(O189="Sim","🔴 Possível DUPLA COBERTURA: a mesma despesa não pode ser paga duas vezes. ","")&amp;IF(AND(L189="Sim",K189&lt;&gt;"Remuneração do proponente"),"🟡 Pessoa vinculada: este valor SOMA no limite de remuneração do proponente. ","")&amp;IF(P189="","",IF(P189&gt;L_FORNECEDOR,"🔴 Fornecedor acima do limite sobre o valor captado (confira exceções). ",IF(P189&gt;=L_FORNECEDOR*MARGEM,"🟡 Fornecedor perto do limite. ","")))&amp;IF(AND(LEFT(K189,5)="Cachê",F189&lt;&gt;""),IF(F189&gt;IFERROR(VLOOKUP(K189,TAB_CATEGORIAS,2,FALSE),9E+99),"🔴 Cachê acima do limite: só com outras fontes ou apreciação da CNIC. ",""),"")&amp;IF(AND(LEFT(H189,6)="Outras",K189&lt;&gt;""),"🟡 Outras fontes: confirme que o recurso existe e está comprometido. ",""))))</f>
        <v/>
      </c>
    </row>
    <row r="190">
      <c r="A190" s="20" t="n"/>
      <c r="B190" s="20" t="n"/>
      <c r="C190" s="20" t="n"/>
      <c r="D190" s="20" t="n"/>
      <c r="E190" s="20" t="n"/>
      <c r="F190" s="17" t="n"/>
      <c r="G190" s="26">
        <f>IF(OR(E190="",F190=""),"",E190*F190)</f>
        <v/>
      </c>
      <c r="H190" s="20" t="n"/>
      <c r="I190" s="20" t="n"/>
      <c r="J190" s="20" t="n"/>
      <c r="K190" s="20" t="n"/>
      <c r="L190" s="20" t="n"/>
      <c r="M190" s="20" t="n"/>
      <c r="N190" s="20" t="n"/>
      <c r="O190" s="20" t="n"/>
      <c r="P190" s="27">
        <f>IF(OR(I190="",G190="",LEFT(H190,9)&lt;&gt;"Incentivo",VALOR_CAPTADO=0),"",SUMIFS($G$8:$G$207,$I$8:$I$207,I190,$H$8:$H$207,"Incentivo*")/VALOR_CAPTADO)</f>
        <v/>
      </c>
      <c r="Q190" s="21">
        <f>IF(AND(B190="",G190=""),"",IF(IF(AND(B190="",G190=""),"",IF(OR(E190="",F190=""),"🟡 Falta quantidade ou valor. ","")&amp;IF(H190="","🟡 Informe a fonte. ","")&amp;IF(K190="","🟡 Classifique a categoria de limite. ","")&amp;IF(TRIM(M190)="","🔴 Sem justificativa de vínculo: se não explica, não coloque. ","")&amp;IF(N190&lt;&gt;"Sim","🟡 Preço de mercado não conferido. ","")&amp;IF(O190="Sim","🔴 Possível DUPLA COBERTURA: a mesma despesa não pode ser paga duas vezes. ","")&amp;IF(AND(L190="Sim",K190&lt;&gt;"Remuneração do proponente"),"🟡 Pessoa vinculada: este valor SOMA no limite de remuneração do proponente. ","")&amp;IF(P190="","",IF(P190&gt;L_FORNECEDOR,"🔴 Fornecedor acima do limite sobre o valor captado (confira exceções). ",IF(P190&gt;=L_FORNECEDOR*MARGEM,"🟡 Fornecedor perto do limite. ","")))&amp;IF(AND(LEFT(K190,5)="Cachê",F190&lt;&gt;""),IF(F190&gt;IFERROR(VLOOKUP(K190,TAB_CATEGORIAS,2,FALSE),9E+99),"🔴 Cachê acima do limite: só com outras fontes ou apreciação da CNIC. ",""),"")&amp;IF(AND(LEFT(H190,6)="Outras",K190&lt;&gt;""),"🟡 Outras fontes: confirme que o recurso existe e está comprometido. ",""))="","🟢 CONFERIDO",IF(AND(B190="",G190=""),"",IF(OR(E190="",F190=""),"🟡 Falta quantidade ou valor. ","")&amp;IF(H190="","🟡 Informe a fonte. ","")&amp;IF(K190="","🟡 Classifique a categoria de limite. ","")&amp;IF(TRIM(M190)="","🔴 Sem justificativa de vínculo: se não explica, não coloque. ","")&amp;IF(N190&lt;&gt;"Sim","🟡 Preço de mercado não conferido. ","")&amp;IF(O190="Sim","🔴 Possível DUPLA COBERTURA: a mesma despesa não pode ser paga duas vezes. ","")&amp;IF(AND(L190="Sim",K190&lt;&gt;"Remuneração do proponente"),"🟡 Pessoa vinculada: este valor SOMA no limite de remuneração do proponente. ","")&amp;IF(P190="","",IF(P190&gt;L_FORNECEDOR,"🔴 Fornecedor acima do limite sobre o valor captado (confira exceções). ",IF(P190&gt;=L_FORNECEDOR*MARGEM,"🟡 Fornecedor perto do limite. ","")))&amp;IF(AND(LEFT(K190,5)="Cachê",F190&lt;&gt;""),IF(F190&gt;IFERROR(VLOOKUP(K190,TAB_CATEGORIAS,2,FALSE),9E+99),"🔴 Cachê acima do limite: só com outras fontes ou apreciação da CNIC. ",""),"")&amp;IF(AND(LEFT(H190,6)="Outras",K190&lt;&gt;""),"🟡 Outras fontes: confirme que o recurso existe e está comprometido. ",""))))</f>
        <v/>
      </c>
    </row>
    <row r="191">
      <c r="A191" s="20" t="n"/>
      <c r="B191" s="20" t="n"/>
      <c r="C191" s="20" t="n"/>
      <c r="D191" s="20" t="n"/>
      <c r="E191" s="20" t="n"/>
      <c r="F191" s="17" t="n"/>
      <c r="G191" s="26">
        <f>IF(OR(E191="",F191=""),"",E191*F191)</f>
        <v/>
      </c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7">
        <f>IF(OR(I191="",G191="",LEFT(H191,9)&lt;&gt;"Incentivo",VALOR_CAPTADO=0),"",SUMIFS($G$8:$G$207,$I$8:$I$207,I191,$H$8:$H$207,"Incentivo*")/VALOR_CAPTADO)</f>
        <v/>
      </c>
      <c r="Q191" s="21">
        <f>IF(AND(B191="",G191=""),"",IF(IF(AND(B191="",G191=""),"",IF(OR(E191="",F191=""),"🟡 Falta quantidade ou valor. ","")&amp;IF(H191="","🟡 Informe a fonte. ","")&amp;IF(K191="","🟡 Classifique a categoria de limite. ","")&amp;IF(TRIM(M191)="","🔴 Sem justificativa de vínculo: se não explica, não coloque. ","")&amp;IF(N191&lt;&gt;"Sim","🟡 Preço de mercado não conferido. ","")&amp;IF(O191="Sim","🔴 Possível DUPLA COBERTURA: a mesma despesa não pode ser paga duas vezes. ","")&amp;IF(AND(L191="Sim",K191&lt;&gt;"Remuneração do proponente"),"🟡 Pessoa vinculada: este valor SOMA no limite de remuneração do proponente. ","")&amp;IF(P191="","",IF(P191&gt;L_FORNECEDOR,"🔴 Fornecedor acima do limite sobre o valor captado (confira exceções). ",IF(P191&gt;=L_FORNECEDOR*MARGEM,"🟡 Fornecedor perto do limite. ","")))&amp;IF(AND(LEFT(K191,5)="Cachê",F191&lt;&gt;""),IF(F191&gt;IFERROR(VLOOKUP(K191,TAB_CATEGORIAS,2,FALSE),9E+99),"🔴 Cachê acima do limite: só com outras fontes ou apreciação da CNIC. ",""),"")&amp;IF(AND(LEFT(H191,6)="Outras",K191&lt;&gt;""),"🟡 Outras fontes: confirme que o recurso existe e está comprometido. ",""))="","🟢 CONFERIDO",IF(AND(B191="",G191=""),"",IF(OR(E191="",F191=""),"🟡 Falta quantidade ou valor. ","")&amp;IF(H191="","🟡 Informe a fonte. ","")&amp;IF(K191="","🟡 Classifique a categoria de limite. ","")&amp;IF(TRIM(M191)="","🔴 Sem justificativa de vínculo: se não explica, não coloque. ","")&amp;IF(N191&lt;&gt;"Sim","🟡 Preço de mercado não conferido. ","")&amp;IF(O191="Sim","🔴 Possível DUPLA COBERTURA: a mesma despesa não pode ser paga duas vezes. ","")&amp;IF(AND(L191="Sim",K191&lt;&gt;"Remuneração do proponente"),"🟡 Pessoa vinculada: este valor SOMA no limite de remuneração do proponente. ","")&amp;IF(P191="","",IF(P191&gt;L_FORNECEDOR,"🔴 Fornecedor acima do limite sobre o valor captado (confira exceções). ",IF(P191&gt;=L_FORNECEDOR*MARGEM,"🟡 Fornecedor perto do limite. ","")))&amp;IF(AND(LEFT(K191,5)="Cachê",F191&lt;&gt;""),IF(F191&gt;IFERROR(VLOOKUP(K191,TAB_CATEGORIAS,2,FALSE),9E+99),"🔴 Cachê acima do limite: só com outras fontes ou apreciação da CNIC. ",""),"")&amp;IF(AND(LEFT(H191,6)="Outras",K191&lt;&gt;""),"🟡 Outras fontes: confirme que o recurso existe e está comprometido. ",""))))</f>
        <v/>
      </c>
    </row>
    <row r="192">
      <c r="A192" s="20" t="n"/>
      <c r="B192" s="20" t="n"/>
      <c r="C192" s="20" t="n"/>
      <c r="D192" s="20" t="n"/>
      <c r="E192" s="20" t="n"/>
      <c r="F192" s="17" t="n"/>
      <c r="G192" s="26">
        <f>IF(OR(E192="",F192=""),"",E192*F192)</f>
        <v/>
      </c>
      <c r="H192" s="20" t="n"/>
      <c r="I192" s="20" t="n"/>
      <c r="J192" s="20" t="n"/>
      <c r="K192" s="20" t="n"/>
      <c r="L192" s="20" t="n"/>
      <c r="M192" s="20" t="n"/>
      <c r="N192" s="20" t="n"/>
      <c r="O192" s="20" t="n"/>
      <c r="P192" s="27">
        <f>IF(OR(I192="",G192="",LEFT(H192,9)&lt;&gt;"Incentivo",VALOR_CAPTADO=0),"",SUMIFS($G$8:$G$207,$I$8:$I$207,I192,$H$8:$H$207,"Incentivo*")/VALOR_CAPTADO)</f>
        <v/>
      </c>
      <c r="Q192" s="21">
        <f>IF(AND(B192="",G192=""),"",IF(IF(AND(B192="",G192=""),"",IF(OR(E192="",F192=""),"🟡 Falta quantidade ou valor. ","")&amp;IF(H192="","🟡 Informe a fonte. ","")&amp;IF(K192="","🟡 Classifique a categoria de limite. ","")&amp;IF(TRIM(M192)="","🔴 Sem justificativa de vínculo: se não explica, não coloque. ","")&amp;IF(N192&lt;&gt;"Sim","🟡 Preço de mercado não conferido. ","")&amp;IF(O192="Sim","🔴 Possível DUPLA COBERTURA: a mesma despesa não pode ser paga duas vezes. ","")&amp;IF(AND(L192="Sim",K192&lt;&gt;"Remuneração do proponente"),"🟡 Pessoa vinculada: este valor SOMA no limite de remuneração do proponente. ","")&amp;IF(P192="","",IF(P192&gt;L_FORNECEDOR,"🔴 Fornecedor acima do limite sobre o valor captado (confira exceções). ",IF(P192&gt;=L_FORNECEDOR*MARGEM,"🟡 Fornecedor perto do limite. ","")))&amp;IF(AND(LEFT(K192,5)="Cachê",F192&lt;&gt;""),IF(F192&gt;IFERROR(VLOOKUP(K192,TAB_CATEGORIAS,2,FALSE),9E+99),"🔴 Cachê acima do limite: só com outras fontes ou apreciação da CNIC. ",""),"")&amp;IF(AND(LEFT(H192,6)="Outras",K192&lt;&gt;""),"🟡 Outras fontes: confirme que o recurso existe e está comprometido. ",""))="","🟢 CONFERIDO",IF(AND(B192="",G192=""),"",IF(OR(E192="",F192=""),"🟡 Falta quantidade ou valor. ","")&amp;IF(H192="","🟡 Informe a fonte. ","")&amp;IF(K192="","🟡 Classifique a categoria de limite. ","")&amp;IF(TRIM(M192)="","🔴 Sem justificativa de vínculo: se não explica, não coloque. ","")&amp;IF(N192&lt;&gt;"Sim","🟡 Preço de mercado não conferido. ","")&amp;IF(O192="Sim","🔴 Possível DUPLA COBERTURA: a mesma despesa não pode ser paga duas vezes. ","")&amp;IF(AND(L192="Sim",K192&lt;&gt;"Remuneração do proponente"),"🟡 Pessoa vinculada: este valor SOMA no limite de remuneração do proponente. ","")&amp;IF(P192="","",IF(P192&gt;L_FORNECEDOR,"🔴 Fornecedor acima do limite sobre o valor captado (confira exceções). ",IF(P192&gt;=L_FORNECEDOR*MARGEM,"🟡 Fornecedor perto do limite. ","")))&amp;IF(AND(LEFT(K192,5)="Cachê",F192&lt;&gt;""),IF(F192&gt;IFERROR(VLOOKUP(K192,TAB_CATEGORIAS,2,FALSE),9E+99),"🔴 Cachê acima do limite: só com outras fontes ou apreciação da CNIC. ",""),"")&amp;IF(AND(LEFT(H192,6)="Outras",K192&lt;&gt;""),"🟡 Outras fontes: confirme que o recurso existe e está comprometido. ",""))))</f>
        <v/>
      </c>
    </row>
    <row r="193">
      <c r="A193" s="20" t="n"/>
      <c r="B193" s="20" t="n"/>
      <c r="C193" s="20" t="n"/>
      <c r="D193" s="20" t="n"/>
      <c r="E193" s="20" t="n"/>
      <c r="F193" s="17" t="n"/>
      <c r="G193" s="26">
        <f>IF(OR(E193="",F193=""),"",E193*F193)</f>
        <v/>
      </c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7">
        <f>IF(OR(I193="",G193="",LEFT(H193,9)&lt;&gt;"Incentivo",VALOR_CAPTADO=0),"",SUMIFS($G$8:$G$207,$I$8:$I$207,I193,$H$8:$H$207,"Incentivo*")/VALOR_CAPTADO)</f>
        <v/>
      </c>
      <c r="Q193" s="21">
        <f>IF(AND(B193="",G193=""),"",IF(IF(AND(B193="",G193=""),"",IF(OR(E193="",F193=""),"🟡 Falta quantidade ou valor. ","")&amp;IF(H193="","🟡 Informe a fonte. ","")&amp;IF(K193="","🟡 Classifique a categoria de limite. ","")&amp;IF(TRIM(M193)="","🔴 Sem justificativa de vínculo: se não explica, não coloque. ","")&amp;IF(N193&lt;&gt;"Sim","🟡 Preço de mercado não conferido. ","")&amp;IF(O193="Sim","🔴 Possível DUPLA COBERTURA: a mesma despesa não pode ser paga duas vezes. ","")&amp;IF(AND(L193="Sim",K193&lt;&gt;"Remuneração do proponente"),"🟡 Pessoa vinculada: este valor SOMA no limite de remuneração do proponente. ","")&amp;IF(P193="","",IF(P193&gt;L_FORNECEDOR,"🔴 Fornecedor acima do limite sobre o valor captado (confira exceções). ",IF(P193&gt;=L_FORNECEDOR*MARGEM,"🟡 Fornecedor perto do limite. ","")))&amp;IF(AND(LEFT(K193,5)="Cachê",F193&lt;&gt;""),IF(F193&gt;IFERROR(VLOOKUP(K193,TAB_CATEGORIAS,2,FALSE),9E+99),"🔴 Cachê acima do limite: só com outras fontes ou apreciação da CNIC. ",""),"")&amp;IF(AND(LEFT(H193,6)="Outras",K193&lt;&gt;""),"🟡 Outras fontes: confirme que o recurso existe e está comprometido. ",""))="","🟢 CONFERIDO",IF(AND(B193="",G193=""),"",IF(OR(E193="",F193=""),"🟡 Falta quantidade ou valor. ","")&amp;IF(H193="","🟡 Informe a fonte. ","")&amp;IF(K193="","🟡 Classifique a categoria de limite. ","")&amp;IF(TRIM(M193)="","🔴 Sem justificativa de vínculo: se não explica, não coloque. ","")&amp;IF(N193&lt;&gt;"Sim","🟡 Preço de mercado não conferido. ","")&amp;IF(O193="Sim","🔴 Possível DUPLA COBERTURA: a mesma despesa não pode ser paga duas vezes. ","")&amp;IF(AND(L193="Sim",K193&lt;&gt;"Remuneração do proponente"),"🟡 Pessoa vinculada: este valor SOMA no limite de remuneração do proponente. ","")&amp;IF(P193="","",IF(P193&gt;L_FORNECEDOR,"🔴 Fornecedor acima do limite sobre o valor captado (confira exceções). ",IF(P193&gt;=L_FORNECEDOR*MARGEM,"🟡 Fornecedor perto do limite. ","")))&amp;IF(AND(LEFT(K193,5)="Cachê",F193&lt;&gt;""),IF(F193&gt;IFERROR(VLOOKUP(K193,TAB_CATEGORIAS,2,FALSE),9E+99),"🔴 Cachê acima do limite: só com outras fontes ou apreciação da CNIC. ",""),"")&amp;IF(AND(LEFT(H193,6)="Outras",K193&lt;&gt;""),"🟡 Outras fontes: confirme que o recurso existe e está comprometido. ",""))))</f>
        <v/>
      </c>
    </row>
    <row r="194">
      <c r="A194" s="20" t="n"/>
      <c r="B194" s="20" t="n"/>
      <c r="C194" s="20" t="n"/>
      <c r="D194" s="20" t="n"/>
      <c r="E194" s="20" t="n"/>
      <c r="F194" s="17" t="n"/>
      <c r="G194" s="26">
        <f>IF(OR(E194="",F194=""),"",E194*F194)</f>
        <v/>
      </c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7">
        <f>IF(OR(I194="",G194="",LEFT(H194,9)&lt;&gt;"Incentivo",VALOR_CAPTADO=0),"",SUMIFS($G$8:$G$207,$I$8:$I$207,I194,$H$8:$H$207,"Incentivo*")/VALOR_CAPTADO)</f>
        <v/>
      </c>
      <c r="Q194" s="21">
        <f>IF(AND(B194="",G194=""),"",IF(IF(AND(B194="",G194=""),"",IF(OR(E194="",F194=""),"🟡 Falta quantidade ou valor. ","")&amp;IF(H194="","🟡 Informe a fonte. ","")&amp;IF(K194="","🟡 Classifique a categoria de limite. ","")&amp;IF(TRIM(M194)="","🔴 Sem justificativa de vínculo: se não explica, não coloque. ","")&amp;IF(N194&lt;&gt;"Sim","🟡 Preço de mercado não conferido. ","")&amp;IF(O194="Sim","🔴 Possível DUPLA COBERTURA: a mesma despesa não pode ser paga duas vezes. ","")&amp;IF(AND(L194="Sim",K194&lt;&gt;"Remuneração do proponente"),"🟡 Pessoa vinculada: este valor SOMA no limite de remuneração do proponente. ","")&amp;IF(P194="","",IF(P194&gt;L_FORNECEDOR,"🔴 Fornecedor acima do limite sobre o valor captado (confira exceções). ",IF(P194&gt;=L_FORNECEDOR*MARGEM,"🟡 Fornecedor perto do limite. ","")))&amp;IF(AND(LEFT(K194,5)="Cachê",F194&lt;&gt;""),IF(F194&gt;IFERROR(VLOOKUP(K194,TAB_CATEGORIAS,2,FALSE),9E+99),"🔴 Cachê acima do limite: só com outras fontes ou apreciação da CNIC. ",""),"")&amp;IF(AND(LEFT(H194,6)="Outras",K194&lt;&gt;""),"🟡 Outras fontes: confirme que o recurso existe e está comprometido. ",""))="","🟢 CONFERIDO",IF(AND(B194="",G194=""),"",IF(OR(E194="",F194=""),"🟡 Falta quantidade ou valor. ","")&amp;IF(H194="","🟡 Informe a fonte. ","")&amp;IF(K194="","🟡 Classifique a categoria de limite. ","")&amp;IF(TRIM(M194)="","🔴 Sem justificativa de vínculo: se não explica, não coloque. ","")&amp;IF(N194&lt;&gt;"Sim","🟡 Preço de mercado não conferido. ","")&amp;IF(O194="Sim","🔴 Possível DUPLA COBERTURA: a mesma despesa não pode ser paga duas vezes. ","")&amp;IF(AND(L194="Sim",K194&lt;&gt;"Remuneração do proponente"),"🟡 Pessoa vinculada: este valor SOMA no limite de remuneração do proponente. ","")&amp;IF(P194="","",IF(P194&gt;L_FORNECEDOR,"🔴 Fornecedor acima do limite sobre o valor captado (confira exceções). ",IF(P194&gt;=L_FORNECEDOR*MARGEM,"🟡 Fornecedor perto do limite. ","")))&amp;IF(AND(LEFT(K194,5)="Cachê",F194&lt;&gt;""),IF(F194&gt;IFERROR(VLOOKUP(K194,TAB_CATEGORIAS,2,FALSE),9E+99),"🔴 Cachê acima do limite: só com outras fontes ou apreciação da CNIC. ",""),"")&amp;IF(AND(LEFT(H194,6)="Outras",K194&lt;&gt;""),"🟡 Outras fontes: confirme que o recurso existe e está comprometido. ",""))))</f>
        <v/>
      </c>
    </row>
    <row r="195">
      <c r="A195" s="20" t="n"/>
      <c r="B195" s="20" t="n"/>
      <c r="C195" s="20" t="n"/>
      <c r="D195" s="20" t="n"/>
      <c r="E195" s="20" t="n"/>
      <c r="F195" s="17" t="n"/>
      <c r="G195" s="26">
        <f>IF(OR(E195="",F195=""),"",E195*F195)</f>
        <v/>
      </c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7">
        <f>IF(OR(I195="",G195="",LEFT(H195,9)&lt;&gt;"Incentivo",VALOR_CAPTADO=0),"",SUMIFS($G$8:$G$207,$I$8:$I$207,I195,$H$8:$H$207,"Incentivo*")/VALOR_CAPTADO)</f>
        <v/>
      </c>
      <c r="Q195" s="21">
        <f>IF(AND(B195="",G195=""),"",IF(IF(AND(B195="",G195=""),"",IF(OR(E195="",F195=""),"🟡 Falta quantidade ou valor. ","")&amp;IF(H195="","🟡 Informe a fonte. ","")&amp;IF(K195="","🟡 Classifique a categoria de limite. ","")&amp;IF(TRIM(M195)="","🔴 Sem justificativa de vínculo: se não explica, não coloque. ","")&amp;IF(N195&lt;&gt;"Sim","🟡 Preço de mercado não conferido. ","")&amp;IF(O195="Sim","🔴 Possível DUPLA COBERTURA: a mesma despesa não pode ser paga duas vezes. ","")&amp;IF(AND(L195="Sim",K195&lt;&gt;"Remuneração do proponente"),"🟡 Pessoa vinculada: este valor SOMA no limite de remuneração do proponente. ","")&amp;IF(P195="","",IF(P195&gt;L_FORNECEDOR,"🔴 Fornecedor acima do limite sobre o valor captado (confira exceções). ",IF(P195&gt;=L_FORNECEDOR*MARGEM,"🟡 Fornecedor perto do limite. ","")))&amp;IF(AND(LEFT(K195,5)="Cachê",F195&lt;&gt;""),IF(F195&gt;IFERROR(VLOOKUP(K195,TAB_CATEGORIAS,2,FALSE),9E+99),"🔴 Cachê acima do limite: só com outras fontes ou apreciação da CNIC. ",""),"")&amp;IF(AND(LEFT(H195,6)="Outras",K195&lt;&gt;""),"🟡 Outras fontes: confirme que o recurso existe e está comprometido. ",""))="","🟢 CONFERIDO",IF(AND(B195="",G195=""),"",IF(OR(E195="",F195=""),"🟡 Falta quantidade ou valor. ","")&amp;IF(H195="","🟡 Informe a fonte. ","")&amp;IF(K195="","🟡 Classifique a categoria de limite. ","")&amp;IF(TRIM(M195)="","🔴 Sem justificativa de vínculo: se não explica, não coloque. ","")&amp;IF(N195&lt;&gt;"Sim","🟡 Preço de mercado não conferido. ","")&amp;IF(O195="Sim","🔴 Possível DUPLA COBERTURA: a mesma despesa não pode ser paga duas vezes. ","")&amp;IF(AND(L195="Sim",K195&lt;&gt;"Remuneração do proponente"),"🟡 Pessoa vinculada: este valor SOMA no limite de remuneração do proponente. ","")&amp;IF(P195="","",IF(P195&gt;L_FORNECEDOR,"🔴 Fornecedor acima do limite sobre o valor captado (confira exceções). ",IF(P195&gt;=L_FORNECEDOR*MARGEM,"🟡 Fornecedor perto do limite. ","")))&amp;IF(AND(LEFT(K195,5)="Cachê",F195&lt;&gt;""),IF(F195&gt;IFERROR(VLOOKUP(K195,TAB_CATEGORIAS,2,FALSE),9E+99),"🔴 Cachê acima do limite: só com outras fontes ou apreciação da CNIC. ",""),"")&amp;IF(AND(LEFT(H195,6)="Outras",K195&lt;&gt;""),"🟡 Outras fontes: confirme que o recurso existe e está comprometido. ",""))))</f>
        <v/>
      </c>
    </row>
    <row r="196">
      <c r="A196" s="20" t="n"/>
      <c r="B196" s="20" t="n"/>
      <c r="C196" s="20" t="n"/>
      <c r="D196" s="20" t="n"/>
      <c r="E196" s="20" t="n"/>
      <c r="F196" s="17" t="n"/>
      <c r="G196" s="26">
        <f>IF(OR(E196="",F196=""),"",E196*F196)</f>
        <v/>
      </c>
      <c r="H196" s="20" t="n"/>
      <c r="I196" s="20" t="n"/>
      <c r="J196" s="20" t="n"/>
      <c r="K196" s="20" t="n"/>
      <c r="L196" s="20" t="n"/>
      <c r="M196" s="20" t="n"/>
      <c r="N196" s="20" t="n"/>
      <c r="O196" s="20" t="n"/>
      <c r="P196" s="27">
        <f>IF(OR(I196="",G196="",LEFT(H196,9)&lt;&gt;"Incentivo",VALOR_CAPTADO=0),"",SUMIFS($G$8:$G$207,$I$8:$I$207,I196,$H$8:$H$207,"Incentivo*")/VALOR_CAPTADO)</f>
        <v/>
      </c>
      <c r="Q196" s="21">
        <f>IF(AND(B196="",G196=""),"",IF(IF(AND(B196="",G196=""),"",IF(OR(E196="",F196=""),"🟡 Falta quantidade ou valor. ","")&amp;IF(H196="","🟡 Informe a fonte. ","")&amp;IF(K196="","🟡 Classifique a categoria de limite. ","")&amp;IF(TRIM(M196)="","🔴 Sem justificativa de vínculo: se não explica, não coloque. ","")&amp;IF(N196&lt;&gt;"Sim","🟡 Preço de mercado não conferido. ","")&amp;IF(O196="Sim","🔴 Possível DUPLA COBERTURA: a mesma despesa não pode ser paga duas vezes. ","")&amp;IF(AND(L196="Sim",K196&lt;&gt;"Remuneração do proponente"),"🟡 Pessoa vinculada: este valor SOMA no limite de remuneração do proponente. ","")&amp;IF(P196="","",IF(P196&gt;L_FORNECEDOR,"🔴 Fornecedor acima do limite sobre o valor captado (confira exceções). ",IF(P196&gt;=L_FORNECEDOR*MARGEM,"🟡 Fornecedor perto do limite. ","")))&amp;IF(AND(LEFT(K196,5)="Cachê",F196&lt;&gt;""),IF(F196&gt;IFERROR(VLOOKUP(K196,TAB_CATEGORIAS,2,FALSE),9E+99),"🔴 Cachê acima do limite: só com outras fontes ou apreciação da CNIC. ",""),"")&amp;IF(AND(LEFT(H196,6)="Outras",K196&lt;&gt;""),"🟡 Outras fontes: confirme que o recurso existe e está comprometido. ",""))="","🟢 CONFERIDO",IF(AND(B196="",G196=""),"",IF(OR(E196="",F196=""),"🟡 Falta quantidade ou valor. ","")&amp;IF(H196="","🟡 Informe a fonte. ","")&amp;IF(K196="","🟡 Classifique a categoria de limite. ","")&amp;IF(TRIM(M196)="","🔴 Sem justificativa de vínculo: se não explica, não coloque. ","")&amp;IF(N196&lt;&gt;"Sim","🟡 Preço de mercado não conferido. ","")&amp;IF(O196="Sim","🔴 Possível DUPLA COBERTURA: a mesma despesa não pode ser paga duas vezes. ","")&amp;IF(AND(L196="Sim",K196&lt;&gt;"Remuneração do proponente"),"🟡 Pessoa vinculada: este valor SOMA no limite de remuneração do proponente. ","")&amp;IF(P196="","",IF(P196&gt;L_FORNECEDOR,"🔴 Fornecedor acima do limite sobre o valor captado (confira exceções). ",IF(P196&gt;=L_FORNECEDOR*MARGEM,"🟡 Fornecedor perto do limite. ","")))&amp;IF(AND(LEFT(K196,5)="Cachê",F196&lt;&gt;""),IF(F196&gt;IFERROR(VLOOKUP(K196,TAB_CATEGORIAS,2,FALSE),9E+99),"🔴 Cachê acima do limite: só com outras fontes ou apreciação da CNIC. ",""),"")&amp;IF(AND(LEFT(H196,6)="Outras",K196&lt;&gt;""),"🟡 Outras fontes: confirme que o recurso existe e está comprometido. ",""))))</f>
        <v/>
      </c>
    </row>
    <row r="197">
      <c r="A197" s="20" t="n"/>
      <c r="B197" s="20" t="n"/>
      <c r="C197" s="20" t="n"/>
      <c r="D197" s="20" t="n"/>
      <c r="E197" s="20" t="n"/>
      <c r="F197" s="17" t="n"/>
      <c r="G197" s="26">
        <f>IF(OR(E197="",F197=""),"",E197*F197)</f>
        <v/>
      </c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7">
        <f>IF(OR(I197="",G197="",LEFT(H197,9)&lt;&gt;"Incentivo",VALOR_CAPTADO=0),"",SUMIFS($G$8:$G$207,$I$8:$I$207,I197,$H$8:$H$207,"Incentivo*")/VALOR_CAPTADO)</f>
        <v/>
      </c>
      <c r="Q197" s="21">
        <f>IF(AND(B197="",G197=""),"",IF(IF(AND(B197="",G197=""),"",IF(OR(E197="",F197=""),"🟡 Falta quantidade ou valor. ","")&amp;IF(H197="","🟡 Informe a fonte. ","")&amp;IF(K197="","🟡 Classifique a categoria de limite. ","")&amp;IF(TRIM(M197)="","🔴 Sem justificativa de vínculo: se não explica, não coloque. ","")&amp;IF(N197&lt;&gt;"Sim","🟡 Preço de mercado não conferido. ","")&amp;IF(O197="Sim","🔴 Possível DUPLA COBERTURA: a mesma despesa não pode ser paga duas vezes. ","")&amp;IF(AND(L197="Sim",K197&lt;&gt;"Remuneração do proponente"),"🟡 Pessoa vinculada: este valor SOMA no limite de remuneração do proponente. ","")&amp;IF(P197="","",IF(P197&gt;L_FORNECEDOR,"🔴 Fornecedor acima do limite sobre o valor captado (confira exceções). ",IF(P197&gt;=L_FORNECEDOR*MARGEM,"🟡 Fornecedor perto do limite. ","")))&amp;IF(AND(LEFT(K197,5)="Cachê",F197&lt;&gt;""),IF(F197&gt;IFERROR(VLOOKUP(K197,TAB_CATEGORIAS,2,FALSE),9E+99),"🔴 Cachê acima do limite: só com outras fontes ou apreciação da CNIC. ",""),"")&amp;IF(AND(LEFT(H197,6)="Outras",K197&lt;&gt;""),"🟡 Outras fontes: confirme que o recurso existe e está comprometido. ",""))="","🟢 CONFERIDO",IF(AND(B197="",G197=""),"",IF(OR(E197="",F197=""),"🟡 Falta quantidade ou valor. ","")&amp;IF(H197="","🟡 Informe a fonte. ","")&amp;IF(K197="","🟡 Classifique a categoria de limite. ","")&amp;IF(TRIM(M197)="","🔴 Sem justificativa de vínculo: se não explica, não coloque. ","")&amp;IF(N197&lt;&gt;"Sim","🟡 Preço de mercado não conferido. ","")&amp;IF(O197="Sim","🔴 Possível DUPLA COBERTURA: a mesma despesa não pode ser paga duas vezes. ","")&amp;IF(AND(L197="Sim",K197&lt;&gt;"Remuneração do proponente"),"🟡 Pessoa vinculada: este valor SOMA no limite de remuneração do proponente. ","")&amp;IF(P197="","",IF(P197&gt;L_FORNECEDOR,"🔴 Fornecedor acima do limite sobre o valor captado (confira exceções). ",IF(P197&gt;=L_FORNECEDOR*MARGEM,"🟡 Fornecedor perto do limite. ","")))&amp;IF(AND(LEFT(K197,5)="Cachê",F197&lt;&gt;""),IF(F197&gt;IFERROR(VLOOKUP(K197,TAB_CATEGORIAS,2,FALSE),9E+99),"🔴 Cachê acima do limite: só com outras fontes ou apreciação da CNIC. ",""),"")&amp;IF(AND(LEFT(H197,6)="Outras",K197&lt;&gt;""),"🟡 Outras fontes: confirme que o recurso existe e está comprometido. ",""))))</f>
        <v/>
      </c>
    </row>
    <row r="198">
      <c r="A198" s="20" t="n"/>
      <c r="B198" s="20" t="n"/>
      <c r="C198" s="20" t="n"/>
      <c r="D198" s="20" t="n"/>
      <c r="E198" s="20" t="n"/>
      <c r="F198" s="17" t="n"/>
      <c r="G198" s="26">
        <f>IF(OR(E198="",F198=""),"",E198*F198)</f>
        <v/>
      </c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7">
        <f>IF(OR(I198="",G198="",LEFT(H198,9)&lt;&gt;"Incentivo",VALOR_CAPTADO=0),"",SUMIFS($G$8:$G$207,$I$8:$I$207,I198,$H$8:$H$207,"Incentivo*")/VALOR_CAPTADO)</f>
        <v/>
      </c>
      <c r="Q198" s="21">
        <f>IF(AND(B198="",G198=""),"",IF(IF(AND(B198="",G198=""),"",IF(OR(E198="",F198=""),"🟡 Falta quantidade ou valor. ","")&amp;IF(H198="","🟡 Informe a fonte. ","")&amp;IF(K198="","🟡 Classifique a categoria de limite. ","")&amp;IF(TRIM(M198)="","🔴 Sem justificativa de vínculo: se não explica, não coloque. ","")&amp;IF(N198&lt;&gt;"Sim","🟡 Preço de mercado não conferido. ","")&amp;IF(O198="Sim","🔴 Possível DUPLA COBERTURA: a mesma despesa não pode ser paga duas vezes. ","")&amp;IF(AND(L198="Sim",K198&lt;&gt;"Remuneração do proponente"),"🟡 Pessoa vinculada: este valor SOMA no limite de remuneração do proponente. ","")&amp;IF(P198="","",IF(P198&gt;L_FORNECEDOR,"🔴 Fornecedor acima do limite sobre o valor captado (confira exceções). ",IF(P198&gt;=L_FORNECEDOR*MARGEM,"🟡 Fornecedor perto do limite. ","")))&amp;IF(AND(LEFT(K198,5)="Cachê",F198&lt;&gt;""),IF(F198&gt;IFERROR(VLOOKUP(K198,TAB_CATEGORIAS,2,FALSE),9E+99),"🔴 Cachê acima do limite: só com outras fontes ou apreciação da CNIC. ",""),"")&amp;IF(AND(LEFT(H198,6)="Outras",K198&lt;&gt;""),"🟡 Outras fontes: confirme que o recurso existe e está comprometido. ",""))="","🟢 CONFERIDO",IF(AND(B198="",G198=""),"",IF(OR(E198="",F198=""),"🟡 Falta quantidade ou valor. ","")&amp;IF(H198="","🟡 Informe a fonte. ","")&amp;IF(K198="","🟡 Classifique a categoria de limite. ","")&amp;IF(TRIM(M198)="","🔴 Sem justificativa de vínculo: se não explica, não coloque. ","")&amp;IF(N198&lt;&gt;"Sim","🟡 Preço de mercado não conferido. ","")&amp;IF(O198="Sim","🔴 Possível DUPLA COBERTURA: a mesma despesa não pode ser paga duas vezes. ","")&amp;IF(AND(L198="Sim",K198&lt;&gt;"Remuneração do proponente"),"🟡 Pessoa vinculada: este valor SOMA no limite de remuneração do proponente. ","")&amp;IF(P198="","",IF(P198&gt;L_FORNECEDOR,"🔴 Fornecedor acima do limite sobre o valor captado (confira exceções). ",IF(P198&gt;=L_FORNECEDOR*MARGEM,"🟡 Fornecedor perto do limite. ","")))&amp;IF(AND(LEFT(K198,5)="Cachê",F198&lt;&gt;""),IF(F198&gt;IFERROR(VLOOKUP(K198,TAB_CATEGORIAS,2,FALSE),9E+99),"🔴 Cachê acima do limite: só com outras fontes ou apreciação da CNIC. ",""),"")&amp;IF(AND(LEFT(H198,6)="Outras",K198&lt;&gt;""),"🟡 Outras fontes: confirme que o recurso existe e está comprometido. ",""))))</f>
        <v/>
      </c>
    </row>
    <row r="199">
      <c r="A199" s="20" t="n"/>
      <c r="B199" s="20" t="n"/>
      <c r="C199" s="20" t="n"/>
      <c r="D199" s="20" t="n"/>
      <c r="E199" s="20" t="n"/>
      <c r="F199" s="17" t="n"/>
      <c r="G199" s="26">
        <f>IF(OR(E199="",F199=""),"",E199*F199)</f>
        <v/>
      </c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7">
        <f>IF(OR(I199="",G199="",LEFT(H199,9)&lt;&gt;"Incentivo",VALOR_CAPTADO=0),"",SUMIFS($G$8:$G$207,$I$8:$I$207,I199,$H$8:$H$207,"Incentivo*")/VALOR_CAPTADO)</f>
        <v/>
      </c>
      <c r="Q199" s="21">
        <f>IF(AND(B199="",G199=""),"",IF(IF(AND(B199="",G199=""),"",IF(OR(E199="",F199=""),"🟡 Falta quantidade ou valor. ","")&amp;IF(H199="","🟡 Informe a fonte. ","")&amp;IF(K199="","🟡 Classifique a categoria de limite. ","")&amp;IF(TRIM(M199)="","🔴 Sem justificativa de vínculo: se não explica, não coloque. ","")&amp;IF(N199&lt;&gt;"Sim","🟡 Preço de mercado não conferido. ","")&amp;IF(O199="Sim","🔴 Possível DUPLA COBERTURA: a mesma despesa não pode ser paga duas vezes. ","")&amp;IF(AND(L199="Sim",K199&lt;&gt;"Remuneração do proponente"),"🟡 Pessoa vinculada: este valor SOMA no limite de remuneração do proponente. ","")&amp;IF(P199="","",IF(P199&gt;L_FORNECEDOR,"🔴 Fornecedor acima do limite sobre o valor captado (confira exceções). ",IF(P199&gt;=L_FORNECEDOR*MARGEM,"🟡 Fornecedor perto do limite. ","")))&amp;IF(AND(LEFT(K199,5)="Cachê",F199&lt;&gt;""),IF(F199&gt;IFERROR(VLOOKUP(K199,TAB_CATEGORIAS,2,FALSE),9E+99),"🔴 Cachê acima do limite: só com outras fontes ou apreciação da CNIC. ",""),"")&amp;IF(AND(LEFT(H199,6)="Outras",K199&lt;&gt;""),"🟡 Outras fontes: confirme que o recurso existe e está comprometido. ",""))="","🟢 CONFERIDO",IF(AND(B199="",G199=""),"",IF(OR(E199="",F199=""),"🟡 Falta quantidade ou valor. ","")&amp;IF(H199="","🟡 Informe a fonte. ","")&amp;IF(K199="","🟡 Classifique a categoria de limite. ","")&amp;IF(TRIM(M199)="","🔴 Sem justificativa de vínculo: se não explica, não coloque. ","")&amp;IF(N199&lt;&gt;"Sim","🟡 Preço de mercado não conferido. ","")&amp;IF(O199="Sim","🔴 Possível DUPLA COBERTURA: a mesma despesa não pode ser paga duas vezes. ","")&amp;IF(AND(L199="Sim",K199&lt;&gt;"Remuneração do proponente"),"🟡 Pessoa vinculada: este valor SOMA no limite de remuneração do proponente. ","")&amp;IF(P199="","",IF(P199&gt;L_FORNECEDOR,"🔴 Fornecedor acima do limite sobre o valor captado (confira exceções). ",IF(P199&gt;=L_FORNECEDOR*MARGEM,"🟡 Fornecedor perto do limite. ","")))&amp;IF(AND(LEFT(K199,5)="Cachê",F199&lt;&gt;""),IF(F199&gt;IFERROR(VLOOKUP(K199,TAB_CATEGORIAS,2,FALSE),9E+99),"🔴 Cachê acima do limite: só com outras fontes ou apreciação da CNIC. ",""),"")&amp;IF(AND(LEFT(H199,6)="Outras",K199&lt;&gt;""),"🟡 Outras fontes: confirme que o recurso existe e está comprometido. ",""))))</f>
        <v/>
      </c>
    </row>
    <row r="200">
      <c r="A200" s="20" t="n"/>
      <c r="B200" s="20" t="n"/>
      <c r="C200" s="20" t="n"/>
      <c r="D200" s="20" t="n"/>
      <c r="E200" s="20" t="n"/>
      <c r="F200" s="17" t="n"/>
      <c r="G200" s="26">
        <f>IF(OR(E200="",F200=""),"",E200*F200)</f>
        <v/>
      </c>
      <c r="H200" s="20" t="n"/>
      <c r="I200" s="20" t="n"/>
      <c r="J200" s="20" t="n"/>
      <c r="K200" s="20" t="n"/>
      <c r="L200" s="20" t="n"/>
      <c r="M200" s="20" t="n"/>
      <c r="N200" s="20" t="n"/>
      <c r="O200" s="20" t="n"/>
      <c r="P200" s="27">
        <f>IF(OR(I200="",G200="",LEFT(H200,9)&lt;&gt;"Incentivo",VALOR_CAPTADO=0),"",SUMIFS($G$8:$G$207,$I$8:$I$207,I200,$H$8:$H$207,"Incentivo*")/VALOR_CAPTADO)</f>
        <v/>
      </c>
      <c r="Q200" s="21">
        <f>IF(AND(B200="",G200=""),"",IF(IF(AND(B200="",G200=""),"",IF(OR(E200="",F200=""),"🟡 Falta quantidade ou valor. ","")&amp;IF(H200="","🟡 Informe a fonte. ","")&amp;IF(K200="","🟡 Classifique a categoria de limite. ","")&amp;IF(TRIM(M200)="","🔴 Sem justificativa de vínculo: se não explica, não coloque. ","")&amp;IF(N200&lt;&gt;"Sim","🟡 Preço de mercado não conferido. ","")&amp;IF(O200="Sim","🔴 Possível DUPLA COBERTURA: a mesma despesa não pode ser paga duas vezes. ","")&amp;IF(AND(L200="Sim",K200&lt;&gt;"Remuneração do proponente"),"🟡 Pessoa vinculada: este valor SOMA no limite de remuneração do proponente. ","")&amp;IF(P200="","",IF(P200&gt;L_FORNECEDOR,"🔴 Fornecedor acima do limite sobre o valor captado (confira exceções). ",IF(P200&gt;=L_FORNECEDOR*MARGEM,"🟡 Fornecedor perto do limite. ","")))&amp;IF(AND(LEFT(K200,5)="Cachê",F200&lt;&gt;""),IF(F200&gt;IFERROR(VLOOKUP(K200,TAB_CATEGORIAS,2,FALSE),9E+99),"🔴 Cachê acima do limite: só com outras fontes ou apreciação da CNIC. ",""),"")&amp;IF(AND(LEFT(H200,6)="Outras",K200&lt;&gt;""),"🟡 Outras fontes: confirme que o recurso existe e está comprometido. ",""))="","🟢 CONFERIDO",IF(AND(B200="",G200=""),"",IF(OR(E200="",F200=""),"🟡 Falta quantidade ou valor. ","")&amp;IF(H200="","🟡 Informe a fonte. ","")&amp;IF(K200="","🟡 Classifique a categoria de limite. ","")&amp;IF(TRIM(M200)="","🔴 Sem justificativa de vínculo: se não explica, não coloque. ","")&amp;IF(N200&lt;&gt;"Sim","🟡 Preço de mercado não conferido. ","")&amp;IF(O200="Sim","🔴 Possível DUPLA COBERTURA: a mesma despesa não pode ser paga duas vezes. ","")&amp;IF(AND(L200="Sim",K200&lt;&gt;"Remuneração do proponente"),"🟡 Pessoa vinculada: este valor SOMA no limite de remuneração do proponente. ","")&amp;IF(P200="","",IF(P200&gt;L_FORNECEDOR,"🔴 Fornecedor acima do limite sobre o valor captado (confira exceções). ",IF(P200&gt;=L_FORNECEDOR*MARGEM,"🟡 Fornecedor perto do limite. ","")))&amp;IF(AND(LEFT(K200,5)="Cachê",F200&lt;&gt;""),IF(F200&gt;IFERROR(VLOOKUP(K200,TAB_CATEGORIAS,2,FALSE),9E+99),"🔴 Cachê acima do limite: só com outras fontes ou apreciação da CNIC. ",""),"")&amp;IF(AND(LEFT(H200,6)="Outras",K200&lt;&gt;""),"🟡 Outras fontes: confirme que o recurso existe e está comprometido. ",""))))</f>
        <v/>
      </c>
    </row>
    <row r="201">
      <c r="A201" s="20" t="n"/>
      <c r="B201" s="20" t="n"/>
      <c r="C201" s="20" t="n"/>
      <c r="D201" s="20" t="n"/>
      <c r="E201" s="20" t="n"/>
      <c r="F201" s="17" t="n"/>
      <c r="G201" s="26">
        <f>IF(OR(E201="",F201=""),"",E201*F201)</f>
        <v/>
      </c>
      <c r="H201" s="20" t="n"/>
      <c r="I201" s="20" t="n"/>
      <c r="J201" s="20" t="n"/>
      <c r="K201" s="20" t="n"/>
      <c r="L201" s="20" t="n"/>
      <c r="M201" s="20" t="n"/>
      <c r="N201" s="20" t="n"/>
      <c r="O201" s="20" t="n"/>
      <c r="P201" s="27">
        <f>IF(OR(I201="",G201="",LEFT(H201,9)&lt;&gt;"Incentivo",VALOR_CAPTADO=0),"",SUMIFS($G$8:$G$207,$I$8:$I$207,I201,$H$8:$H$207,"Incentivo*")/VALOR_CAPTADO)</f>
        <v/>
      </c>
      <c r="Q201" s="21">
        <f>IF(AND(B201="",G201=""),"",IF(IF(AND(B201="",G201=""),"",IF(OR(E201="",F201=""),"🟡 Falta quantidade ou valor. ","")&amp;IF(H201="","🟡 Informe a fonte. ","")&amp;IF(K201="","🟡 Classifique a categoria de limite. ","")&amp;IF(TRIM(M201)="","🔴 Sem justificativa de vínculo: se não explica, não coloque. ","")&amp;IF(N201&lt;&gt;"Sim","🟡 Preço de mercado não conferido. ","")&amp;IF(O201="Sim","🔴 Possível DUPLA COBERTURA: a mesma despesa não pode ser paga duas vezes. ","")&amp;IF(AND(L201="Sim",K201&lt;&gt;"Remuneração do proponente"),"🟡 Pessoa vinculada: este valor SOMA no limite de remuneração do proponente. ","")&amp;IF(P201="","",IF(P201&gt;L_FORNECEDOR,"🔴 Fornecedor acima do limite sobre o valor captado (confira exceções). ",IF(P201&gt;=L_FORNECEDOR*MARGEM,"🟡 Fornecedor perto do limite. ","")))&amp;IF(AND(LEFT(K201,5)="Cachê",F201&lt;&gt;""),IF(F201&gt;IFERROR(VLOOKUP(K201,TAB_CATEGORIAS,2,FALSE),9E+99),"🔴 Cachê acima do limite: só com outras fontes ou apreciação da CNIC. ",""),"")&amp;IF(AND(LEFT(H201,6)="Outras",K201&lt;&gt;""),"🟡 Outras fontes: confirme que o recurso existe e está comprometido. ",""))="","🟢 CONFERIDO",IF(AND(B201="",G201=""),"",IF(OR(E201="",F201=""),"🟡 Falta quantidade ou valor. ","")&amp;IF(H201="","🟡 Informe a fonte. ","")&amp;IF(K201="","🟡 Classifique a categoria de limite. ","")&amp;IF(TRIM(M201)="","🔴 Sem justificativa de vínculo: se não explica, não coloque. ","")&amp;IF(N201&lt;&gt;"Sim","🟡 Preço de mercado não conferido. ","")&amp;IF(O201="Sim","🔴 Possível DUPLA COBERTURA: a mesma despesa não pode ser paga duas vezes. ","")&amp;IF(AND(L201="Sim",K201&lt;&gt;"Remuneração do proponente"),"🟡 Pessoa vinculada: este valor SOMA no limite de remuneração do proponente. ","")&amp;IF(P201="","",IF(P201&gt;L_FORNECEDOR,"🔴 Fornecedor acima do limite sobre o valor captado (confira exceções). ",IF(P201&gt;=L_FORNECEDOR*MARGEM,"🟡 Fornecedor perto do limite. ","")))&amp;IF(AND(LEFT(K201,5)="Cachê",F201&lt;&gt;""),IF(F201&gt;IFERROR(VLOOKUP(K201,TAB_CATEGORIAS,2,FALSE),9E+99),"🔴 Cachê acima do limite: só com outras fontes ou apreciação da CNIC. ",""),"")&amp;IF(AND(LEFT(H201,6)="Outras",K201&lt;&gt;""),"🟡 Outras fontes: confirme que o recurso existe e está comprometido. ",""))))</f>
        <v/>
      </c>
    </row>
    <row r="202">
      <c r="A202" s="20" t="n"/>
      <c r="B202" s="20" t="n"/>
      <c r="C202" s="20" t="n"/>
      <c r="D202" s="20" t="n"/>
      <c r="E202" s="20" t="n"/>
      <c r="F202" s="17" t="n"/>
      <c r="G202" s="26">
        <f>IF(OR(E202="",F202=""),"",E202*F202)</f>
        <v/>
      </c>
      <c r="H202" s="20" t="n"/>
      <c r="I202" s="20" t="n"/>
      <c r="J202" s="20" t="n"/>
      <c r="K202" s="20" t="n"/>
      <c r="L202" s="20" t="n"/>
      <c r="M202" s="20" t="n"/>
      <c r="N202" s="20" t="n"/>
      <c r="O202" s="20" t="n"/>
      <c r="P202" s="27">
        <f>IF(OR(I202="",G202="",LEFT(H202,9)&lt;&gt;"Incentivo",VALOR_CAPTADO=0),"",SUMIFS($G$8:$G$207,$I$8:$I$207,I202,$H$8:$H$207,"Incentivo*")/VALOR_CAPTADO)</f>
        <v/>
      </c>
      <c r="Q202" s="21">
        <f>IF(AND(B202="",G202=""),"",IF(IF(AND(B202="",G202=""),"",IF(OR(E202="",F202=""),"🟡 Falta quantidade ou valor. ","")&amp;IF(H202="","🟡 Informe a fonte. ","")&amp;IF(K202="","🟡 Classifique a categoria de limite. ","")&amp;IF(TRIM(M202)="","🔴 Sem justificativa de vínculo: se não explica, não coloque. ","")&amp;IF(N202&lt;&gt;"Sim","🟡 Preço de mercado não conferido. ","")&amp;IF(O202="Sim","🔴 Possível DUPLA COBERTURA: a mesma despesa não pode ser paga duas vezes. ","")&amp;IF(AND(L202="Sim",K202&lt;&gt;"Remuneração do proponente"),"🟡 Pessoa vinculada: este valor SOMA no limite de remuneração do proponente. ","")&amp;IF(P202="","",IF(P202&gt;L_FORNECEDOR,"🔴 Fornecedor acima do limite sobre o valor captado (confira exceções). ",IF(P202&gt;=L_FORNECEDOR*MARGEM,"🟡 Fornecedor perto do limite. ","")))&amp;IF(AND(LEFT(K202,5)="Cachê",F202&lt;&gt;""),IF(F202&gt;IFERROR(VLOOKUP(K202,TAB_CATEGORIAS,2,FALSE),9E+99),"🔴 Cachê acima do limite: só com outras fontes ou apreciação da CNIC. ",""),"")&amp;IF(AND(LEFT(H202,6)="Outras",K202&lt;&gt;""),"🟡 Outras fontes: confirme que o recurso existe e está comprometido. ",""))="","🟢 CONFERIDO",IF(AND(B202="",G202=""),"",IF(OR(E202="",F202=""),"🟡 Falta quantidade ou valor. ","")&amp;IF(H202="","🟡 Informe a fonte. ","")&amp;IF(K202="","🟡 Classifique a categoria de limite. ","")&amp;IF(TRIM(M202)="","🔴 Sem justificativa de vínculo: se não explica, não coloque. ","")&amp;IF(N202&lt;&gt;"Sim","🟡 Preço de mercado não conferido. ","")&amp;IF(O202="Sim","🔴 Possível DUPLA COBERTURA: a mesma despesa não pode ser paga duas vezes. ","")&amp;IF(AND(L202="Sim",K202&lt;&gt;"Remuneração do proponente"),"🟡 Pessoa vinculada: este valor SOMA no limite de remuneração do proponente. ","")&amp;IF(P202="","",IF(P202&gt;L_FORNECEDOR,"🔴 Fornecedor acima do limite sobre o valor captado (confira exceções). ",IF(P202&gt;=L_FORNECEDOR*MARGEM,"🟡 Fornecedor perto do limite. ","")))&amp;IF(AND(LEFT(K202,5)="Cachê",F202&lt;&gt;""),IF(F202&gt;IFERROR(VLOOKUP(K202,TAB_CATEGORIAS,2,FALSE),9E+99),"🔴 Cachê acima do limite: só com outras fontes ou apreciação da CNIC. ",""),"")&amp;IF(AND(LEFT(H202,6)="Outras",K202&lt;&gt;""),"🟡 Outras fontes: confirme que o recurso existe e está comprometido. ",""))))</f>
        <v/>
      </c>
    </row>
    <row r="203">
      <c r="A203" s="20" t="n"/>
      <c r="B203" s="20" t="n"/>
      <c r="C203" s="20" t="n"/>
      <c r="D203" s="20" t="n"/>
      <c r="E203" s="20" t="n"/>
      <c r="F203" s="17" t="n"/>
      <c r="G203" s="26">
        <f>IF(OR(E203="",F203=""),"",E203*F203)</f>
        <v/>
      </c>
      <c r="H203" s="20" t="n"/>
      <c r="I203" s="20" t="n"/>
      <c r="J203" s="20" t="n"/>
      <c r="K203" s="20" t="n"/>
      <c r="L203" s="20" t="n"/>
      <c r="M203" s="20" t="n"/>
      <c r="N203" s="20" t="n"/>
      <c r="O203" s="20" t="n"/>
      <c r="P203" s="27">
        <f>IF(OR(I203="",G203="",LEFT(H203,9)&lt;&gt;"Incentivo",VALOR_CAPTADO=0),"",SUMIFS($G$8:$G$207,$I$8:$I$207,I203,$H$8:$H$207,"Incentivo*")/VALOR_CAPTADO)</f>
        <v/>
      </c>
      <c r="Q203" s="21">
        <f>IF(AND(B203="",G203=""),"",IF(IF(AND(B203="",G203=""),"",IF(OR(E203="",F203=""),"🟡 Falta quantidade ou valor. ","")&amp;IF(H203="","🟡 Informe a fonte. ","")&amp;IF(K203="","🟡 Classifique a categoria de limite. ","")&amp;IF(TRIM(M203)="","🔴 Sem justificativa de vínculo: se não explica, não coloque. ","")&amp;IF(N203&lt;&gt;"Sim","🟡 Preço de mercado não conferido. ","")&amp;IF(O203="Sim","🔴 Possível DUPLA COBERTURA: a mesma despesa não pode ser paga duas vezes. ","")&amp;IF(AND(L203="Sim",K203&lt;&gt;"Remuneração do proponente"),"🟡 Pessoa vinculada: este valor SOMA no limite de remuneração do proponente. ","")&amp;IF(P203="","",IF(P203&gt;L_FORNECEDOR,"🔴 Fornecedor acima do limite sobre o valor captado (confira exceções). ",IF(P203&gt;=L_FORNECEDOR*MARGEM,"🟡 Fornecedor perto do limite. ","")))&amp;IF(AND(LEFT(K203,5)="Cachê",F203&lt;&gt;""),IF(F203&gt;IFERROR(VLOOKUP(K203,TAB_CATEGORIAS,2,FALSE),9E+99),"🔴 Cachê acima do limite: só com outras fontes ou apreciação da CNIC. ",""),"")&amp;IF(AND(LEFT(H203,6)="Outras",K203&lt;&gt;""),"🟡 Outras fontes: confirme que o recurso existe e está comprometido. ",""))="","🟢 CONFERIDO",IF(AND(B203="",G203=""),"",IF(OR(E203="",F203=""),"🟡 Falta quantidade ou valor. ","")&amp;IF(H203="","🟡 Informe a fonte. ","")&amp;IF(K203="","🟡 Classifique a categoria de limite. ","")&amp;IF(TRIM(M203)="","🔴 Sem justificativa de vínculo: se não explica, não coloque. ","")&amp;IF(N203&lt;&gt;"Sim","🟡 Preço de mercado não conferido. ","")&amp;IF(O203="Sim","🔴 Possível DUPLA COBERTURA: a mesma despesa não pode ser paga duas vezes. ","")&amp;IF(AND(L203="Sim",K203&lt;&gt;"Remuneração do proponente"),"🟡 Pessoa vinculada: este valor SOMA no limite de remuneração do proponente. ","")&amp;IF(P203="","",IF(P203&gt;L_FORNECEDOR,"🔴 Fornecedor acima do limite sobre o valor captado (confira exceções). ",IF(P203&gt;=L_FORNECEDOR*MARGEM,"🟡 Fornecedor perto do limite. ","")))&amp;IF(AND(LEFT(K203,5)="Cachê",F203&lt;&gt;""),IF(F203&gt;IFERROR(VLOOKUP(K203,TAB_CATEGORIAS,2,FALSE),9E+99),"🔴 Cachê acima do limite: só com outras fontes ou apreciação da CNIC. ",""),"")&amp;IF(AND(LEFT(H203,6)="Outras",K203&lt;&gt;""),"🟡 Outras fontes: confirme que o recurso existe e está comprometido. ",""))))</f>
        <v/>
      </c>
    </row>
    <row r="204">
      <c r="A204" s="20" t="n"/>
      <c r="B204" s="20" t="n"/>
      <c r="C204" s="20" t="n"/>
      <c r="D204" s="20" t="n"/>
      <c r="E204" s="20" t="n"/>
      <c r="F204" s="17" t="n"/>
      <c r="G204" s="26">
        <f>IF(OR(E204="",F204=""),"",E204*F204)</f>
        <v/>
      </c>
      <c r="H204" s="20" t="n"/>
      <c r="I204" s="20" t="n"/>
      <c r="J204" s="20" t="n"/>
      <c r="K204" s="20" t="n"/>
      <c r="L204" s="20" t="n"/>
      <c r="M204" s="20" t="n"/>
      <c r="N204" s="20" t="n"/>
      <c r="O204" s="20" t="n"/>
      <c r="P204" s="27">
        <f>IF(OR(I204="",G204="",LEFT(H204,9)&lt;&gt;"Incentivo",VALOR_CAPTADO=0),"",SUMIFS($G$8:$G$207,$I$8:$I$207,I204,$H$8:$H$207,"Incentivo*")/VALOR_CAPTADO)</f>
        <v/>
      </c>
      <c r="Q204" s="21">
        <f>IF(AND(B204="",G204=""),"",IF(IF(AND(B204="",G204=""),"",IF(OR(E204="",F204=""),"🟡 Falta quantidade ou valor. ","")&amp;IF(H204="","🟡 Informe a fonte. ","")&amp;IF(K204="","🟡 Classifique a categoria de limite. ","")&amp;IF(TRIM(M204)="","🔴 Sem justificativa de vínculo: se não explica, não coloque. ","")&amp;IF(N204&lt;&gt;"Sim","🟡 Preço de mercado não conferido. ","")&amp;IF(O204="Sim","🔴 Possível DUPLA COBERTURA: a mesma despesa não pode ser paga duas vezes. ","")&amp;IF(AND(L204="Sim",K204&lt;&gt;"Remuneração do proponente"),"🟡 Pessoa vinculada: este valor SOMA no limite de remuneração do proponente. ","")&amp;IF(P204="","",IF(P204&gt;L_FORNECEDOR,"🔴 Fornecedor acima do limite sobre o valor captado (confira exceções). ",IF(P204&gt;=L_FORNECEDOR*MARGEM,"🟡 Fornecedor perto do limite. ","")))&amp;IF(AND(LEFT(K204,5)="Cachê",F204&lt;&gt;""),IF(F204&gt;IFERROR(VLOOKUP(K204,TAB_CATEGORIAS,2,FALSE),9E+99),"🔴 Cachê acima do limite: só com outras fontes ou apreciação da CNIC. ",""),"")&amp;IF(AND(LEFT(H204,6)="Outras",K204&lt;&gt;""),"🟡 Outras fontes: confirme que o recurso existe e está comprometido. ",""))="","🟢 CONFERIDO",IF(AND(B204="",G204=""),"",IF(OR(E204="",F204=""),"🟡 Falta quantidade ou valor. ","")&amp;IF(H204="","🟡 Informe a fonte. ","")&amp;IF(K204="","🟡 Classifique a categoria de limite. ","")&amp;IF(TRIM(M204)="","🔴 Sem justificativa de vínculo: se não explica, não coloque. ","")&amp;IF(N204&lt;&gt;"Sim","🟡 Preço de mercado não conferido. ","")&amp;IF(O204="Sim","🔴 Possível DUPLA COBERTURA: a mesma despesa não pode ser paga duas vezes. ","")&amp;IF(AND(L204="Sim",K204&lt;&gt;"Remuneração do proponente"),"🟡 Pessoa vinculada: este valor SOMA no limite de remuneração do proponente. ","")&amp;IF(P204="","",IF(P204&gt;L_FORNECEDOR,"🔴 Fornecedor acima do limite sobre o valor captado (confira exceções). ",IF(P204&gt;=L_FORNECEDOR*MARGEM,"🟡 Fornecedor perto do limite. ","")))&amp;IF(AND(LEFT(K204,5)="Cachê",F204&lt;&gt;""),IF(F204&gt;IFERROR(VLOOKUP(K204,TAB_CATEGORIAS,2,FALSE),9E+99),"🔴 Cachê acima do limite: só com outras fontes ou apreciação da CNIC. ",""),"")&amp;IF(AND(LEFT(H204,6)="Outras",K204&lt;&gt;""),"🟡 Outras fontes: confirme que o recurso existe e está comprometido. ",""))))</f>
        <v/>
      </c>
    </row>
    <row r="205">
      <c r="A205" s="20" t="n"/>
      <c r="B205" s="20" t="n"/>
      <c r="C205" s="20" t="n"/>
      <c r="D205" s="20" t="n"/>
      <c r="E205" s="20" t="n"/>
      <c r="F205" s="17" t="n"/>
      <c r="G205" s="26">
        <f>IF(OR(E205="",F205=""),"",E205*F205)</f>
        <v/>
      </c>
      <c r="H205" s="20" t="n"/>
      <c r="I205" s="20" t="n"/>
      <c r="J205" s="20" t="n"/>
      <c r="K205" s="20" t="n"/>
      <c r="L205" s="20" t="n"/>
      <c r="M205" s="20" t="n"/>
      <c r="N205" s="20" t="n"/>
      <c r="O205" s="20" t="n"/>
      <c r="P205" s="27">
        <f>IF(OR(I205="",G205="",LEFT(H205,9)&lt;&gt;"Incentivo",VALOR_CAPTADO=0),"",SUMIFS($G$8:$G$207,$I$8:$I$207,I205,$H$8:$H$207,"Incentivo*")/VALOR_CAPTADO)</f>
        <v/>
      </c>
      <c r="Q205" s="21">
        <f>IF(AND(B205="",G205=""),"",IF(IF(AND(B205="",G205=""),"",IF(OR(E205="",F205=""),"🟡 Falta quantidade ou valor. ","")&amp;IF(H205="","🟡 Informe a fonte. ","")&amp;IF(K205="","🟡 Classifique a categoria de limite. ","")&amp;IF(TRIM(M205)="","🔴 Sem justificativa de vínculo: se não explica, não coloque. ","")&amp;IF(N205&lt;&gt;"Sim","🟡 Preço de mercado não conferido. ","")&amp;IF(O205="Sim","🔴 Possível DUPLA COBERTURA: a mesma despesa não pode ser paga duas vezes. ","")&amp;IF(AND(L205="Sim",K205&lt;&gt;"Remuneração do proponente"),"🟡 Pessoa vinculada: este valor SOMA no limite de remuneração do proponente. ","")&amp;IF(P205="","",IF(P205&gt;L_FORNECEDOR,"🔴 Fornecedor acima do limite sobre o valor captado (confira exceções). ",IF(P205&gt;=L_FORNECEDOR*MARGEM,"🟡 Fornecedor perto do limite. ","")))&amp;IF(AND(LEFT(K205,5)="Cachê",F205&lt;&gt;""),IF(F205&gt;IFERROR(VLOOKUP(K205,TAB_CATEGORIAS,2,FALSE),9E+99),"🔴 Cachê acima do limite: só com outras fontes ou apreciação da CNIC. ",""),"")&amp;IF(AND(LEFT(H205,6)="Outras",K205&lt;&gt;""),"🟡 Outras fontes: confirme que o recurso existe e está comprometido. ",""))="","🟢 CONFERIDO",IF(AND(B205="",G205=""),"",IF(OR(E205="",F205=""),"🟡 Falta quantidade ou valor. ","")&amp;IF(H205="","🟡 Informe a fonte. ","")&amp;IF(K205="","🟡 Classifique a categoria de limite. ","")&amp;IF(TRIM(M205)="","🔴 Sem justificativa de vínculo: se não explica, não coloque. ","")&amp;IF(N205&lt;&gt;"Sim","🟡 Preço de mercado não conferido. ","")&amp;IF(O205="Sim","🔴 Possível DUPLA COBERTURA: a mesma despesa não pode ser paga duas vezes. ","")&amp;IF(AND(L205="Sim",K205&lt;&gt;"Remuneração do proponente"),"🟡 Pessoa vinculada: este valor SOMA no limite de remuneração do proponente. ","")&amp;IF(P205="","",IF(P205&gt;L_FORNECEDOR,"🔴 Fornecedor acima do limite sobre o valor captado (confira exceções). ",IF(P205&gt;=L_FORNECEDOR*MARGEM,"🟡 Fornecedor perto do limite. ","")))&amp;IF(AND(LEFT(K205,5)="Cachê",F205&lt;&gt;""),IF(F205&gt;IFERROR(VLOOKUP(K205,TAB_CATEGORIAS,2,FALSE),9E+99),"🔴 Cachê acima do limite: só com outras fontes ou apreciação da CNIC. ",""),"")&amp;IF(AND(LEFT(H205,6)="Outras",K205&lt;&gt;""),"🟡 Outras fontes: confirme que o recurso existe e está comprometido. ",""))))</f>
        <v/>
      </c>
    </row>
    <row r="206">
      <c r="A206" s="20" t="n"/>
      <c r="B206" s="20" t="n"/>
      <c r="C206" s="20" t="n"/>
      <c r="D206" s="20" t="n"/>
      <c r="E206" s="20" t="n"/>
      <c r="F206" s="17" t="n"/>
      <c r="G206" s="26">
        <f>IF(OR(E206="",F206=""),"",E206*F206)</f>
        <v/>
      </c>
      <c r="H206" s="20" t="n"/>
      <c r="I206" s="20" t="n"/>
      <c r="J206" s="20" t="n"/>
      <c r="K206" s="20" t="n"/>
      <c r="L206" s="20" t="n"/>
      <c r="M206" s="20" t="n"/>
      <c r="N206" s="20" t="n"/>
      <c r="O206" s="20" t="n"/>
      <c r="P206" s="27">
        <f>IF(OR(I206="",G206="",LEFT(H206,9)&lt;&gt;"Incentivo",VALOR_CAPTADO=0),"",SUMIFS($G$8:$G$207,$I$8:$I$207,I206,$H$8:$H$207,"Incentivo*")/VALOR_CAPTADO)</f>
        <v/>
      </c>
      <c r="Q206" s="21">
        <f>IF(AND(B206="",G206=""),"",IF(IF(AND(B206="",G206=""),"",IF(OR(E206="",F206=""),"🟡 Falta quantidade ou valor. ","")&amp;IF(H206="","🟡 Informe a fonte. ","")&amp;IF(K206="","🟡 Classifique a categoria de limite. ","")&amp;IF(TRIM(M206)="","🔴 Sem justificativa de vínculo: se não explica, não coloque. ","")&amp;IF(N206&lt;&gt;"Sim","🟡 Preço de mercado não conferido. ","")&amp;IF(O206="Sim","🔴 Possível DUPLA COBERTURA: a mesma despesa não pode ser paga duas vezes. ","")&amp;IF(AND(L206="Sim",K206&lt;&gt;"Remuneração do proponente"),"🟡 Pessoa vinculada: este valor SOMA no limite de remuneração do proponente. ","")&amp;IF(P206="","",IF(P206&gt;L_FORNECEDOR,"🔴 Fornecedor acima do limite sobre o valor captado (confira exceções). ",IF(P206&gt;=L_FORNECEDOR*MARGEM,"🟡 Fornecedor perto do limite. ","")))&amp;IF(AND(LEFT(K206,5)="Cachê",F206&lt;&gt;""),IF(F206&gt;IFERROR(VLOOKUP(K206,TAB_CATEGORIAS,2,FALSE),9E+99),"🔴 Cachê acima do limite: só com outras fontes ou apreciação da CNIC. ",""),"")&amp;IF(AND(LEFT(H206,6)="Outras",K206&lt;&gt;""),"🟡 Outras fontes: confirme que o recurso existe e está comprometido. ",""))="","🟢 CONFERIDO",IF(AND(B206="",G206=""),"",IF(OR(E206="",F206=""),"🟡 Falta quantidade ou valor. ","")&amp;IF(H206="","🟡 Informe a fonte. ","")&amp;IF(K206="","🟡 Classifique a categoria de limite. ","")&amp;IF(TRIM(M206)="","🔴 Sem justificativa de vínculo: se não explica, não coloque. ","")&amp;IF(N206&lt;&gt;"Sim","🟡 Preço de mercado não conferido. ","")&amp;IF(O206="Sim","🔴 Possível DUPLA COBERTURA: a mesma despesa não pode ser paga duas vezes. ","")&amp;IF(AND(L206="Sim",K206&lt;&gt;"Remuneração do proponente"),"🟡 Pessoa vinculada: este valor SOMA no limite de remuneração do proponente. ","")&amp;IF(P206="","",IF(P206&gt;L_FORNECEDOR,"🔴 Fornecedor acima do limite sobre o valor captado (confira exceções). ",IF(P206&gt;=L_FORNECEDOR*MARGEM,"🟡 Fornecedor perto do limite. ","")))&amp;IF(AND(LEFT(K206,5)="Cachê",F206&lt;&gt;""),IF(F206&gt;IFERROR(VLOOKUP(K206,TAB_CATEGORIAS,2,FALSE),9E+99),"🔴 Cachê acima do limite: só com outras fontes ou apreciação da CNIC. ",""),"")&amp;IF(AND(LEFT(H206,6)="Outras",K206&lt;&gt;""),"🟡 Outras fontes: confirme que o recurso existe e está comprometido. ",""))))</f>
        <v/>
      </c>
    </row>
    <row r="207">
      <c r="A207" s="20" t="n"/>
      <c r="B207" s="20" t="n"/>
      <c r="C207" s="20" t="n"/>
      <c r="D207" s="20" t="n"/>
      <c r="E207" s="20" t="n"/>
      <c r="F207" s="17" t="n"/>
      <c r="G207" s="26">
        <f>IF(OR(E207="",F207=""),"",E207*F207)</f>
        <v/>
      </c>
      <c r="H207" s="20" t="n"/>
      <c r="I207" s="20" t="n"/>
      <c r="J207" s="20" t="n"/>
      <c r="K207" s="20" t="n"/>
      <c r="L207" s="20" t="n"/>
      <c r="M207" s="20" t="n"/>
      <c r="N207" s="20" t="n"/>
      <c r="O207" s="20" t="n"/>
      <c r="P207" s="27">
        <f>IF(OR(I207="",G207="",LEFT(H207,9)&lt;&gt;"Incentivo",VALOR_CAPTADO=0),"",SUMIFS($G$8:$G$207,$I$8:$I$207,I207,$H$8:$H$207,"Incentivo*")/VALOR_CAPTADO)</f>
        <v/>
      </c>
      <c r="Q207" s="21">
        <f>IF(AND(B207="",G207=""),"",IF(IF(AND(B207="",G207=""),"",IF(OR(E207="",F207=""),"🟡 Falta quantidade ou valor. ","")&amp;IF(H207="","🟡 Informe a fonte. ","")&amp;IF(K207="","🟡 Classifique a categoria de limite. ","")&amp;IF(TRIM(M207)="","🔴 Sem justificativa de vínculo: se não explica, não coloque. ","")&amp;IF(N207&lt;&gt;"Sim","🟡 Preço de mercado não conferido. ","")&amp;IF(O207="Sim","🔴 Possível DUPLA COBERTURA: a mesma despesa não pode ser paga duas vezes. ","")&amp;IF(AND(L207="Sim",K207&lt;&gt;"Remuneração do proponente"),"🟡 Pessoa vinculada: este valor SOMA no limite de remuneração do proponente. ","")&amp;IF(P207="","",IF(P207&gt;L_FORNECEDOR,"🔴 Fornecedor acima do limite sobre o valor captado (confira exceções). ",IF(P207&gt;=L_FORNECEDOR*MARGEM,"🟡 Fornecedor perto do limite. ","")))&amp;IF(AND(LEFT(K207,5)="Cachê",F207&lt;&gt;""),IF(F207&gt;IFERROR(VLOOKUP(K207,TAB_CATEGORIAS,2,FALSE),9E+99),"🔴 Cachê acima do limite: só com outras fontes ou apreciação da CNIC. ",""),"")&amp;IF(AND(LEFT(H207,6)="Outras",K207&lt;&gt;""),"🟡 Outras fontes: confirme que o recurso existe e está comprometido. ",""))="","🟢 CONFERIDO",IF(AND(B207="",G207=""),"",IF(OR(E207="",F207=""),"🟡 Falta quantidade ou valor. ","")&amp;IF(H207="","🟡 Informe a fonte. ","")&amp;IF(K207="","🟡 Classifique a categoria de limite. ","")&amp;IF(TRIM(M207)="","🔴 Sem justificativa de vínculo: se não explica, não coloque. ","")&amp;IF(N207&lt;&gt;"Sim","🟡 Preço de mercado não conferido. ","")&amp;IF(O207="Sim","🔴 Possível DUPLA COBERTURA: a mesma despesa não pode ser paga duas vezes. ","")&amp;IF(AND(L207="Sim",K207&lt;&gt;"Remuneração do proponente"),"🟡 Pessoa vinculada: este valor SOMA no limite de remuneração do proponente. ","")&amp;IF(P207="","",IF(P207&gt;L_FORNECEDOR,"🔴 Fornecedor acima do limite sobre o valor captado (confira exceções). ",IF(P207&gt;=L_FORNECEDOR*MARGEM,"🟡 Fornecedor perto do limite. ","")))&amp;IF(AND(LEFT(K207,5)="Cachê",F207&lt;&gt;""),IF(F207&gt;IFERROR(VLOOKUP(K207,TAB_CATEGORIAS,2,FALSE),9E+99),"🔴 Cachê acima do limite: só com outras fontes ou apreciação da CNIC. ",""),"")&amp;IF(AND(LEFT(H207,6)="Outras",K207&lt;&gt;""),"🟡 Outras fontes: confirme que o recurso existe e está comprometido. ",""))))</f>
        <v/>
      </c>
    </row>
  </sheetData>
  <mergeCells count="2">
    <mergeCell ref="A2:Q2"/>
    <mergeCell ref="A1:Q1"/>
  </mergeCells>
  <conditionalFormatting sqref="Q8:Q207">
    <cfRule type="expression" priority="1" dxfId="0">
      <formula>LEFT(Q8,2)="🔴"</formula>
    </cfRule>
    <cfRule type="expression" priority="2" dxfId="1">
      <formula>LEFT(Q8,2)="🟡"</formula>
    </cfRule>
    <cfRule type="expression" priority="3" dxfId="2">
      <formula>LEFT(Q8,2)="🟢"</formula>
    </cfRule>
    <cfRule type="expression" priority="4" dxfId="0">
      <formula>ISNUMBER(SEARCH("🔴",Q8))</formula>
    </cfRule>
    <cfRule type="expression" priority="5" dxfId="1">
      <formula>ISNUMBER(SEARCH("🟡",Q8))</formula>
    </cfRule>
  </conditionalFormatting>
  <dataValidations count="6">
    <dataValidation sqref="A8:A207" showDropDown="0" showInputMessage="0" showErrorMessage="0" allowBlank="1" error="Escolha uma opção da lista." type="list">
      <formula1>=LISTA_ETAPAS</formula1>
    </dataValidation>
    <dataValidation sqref="H8:H207" showDropDown="0" showInputMessage="0" showErrorMessage="0" allowBlank="1" error="Escolha uma opção da lista." type="list">
      <formula1>"Incentivo fiscal (Rouanet),Outras fontes"</formula1>
    </dataValidation>
    <dataValidation sqref="K8:K207" showDropDown="0" showInputMessage="0" showErrorMessage="0" allowBlank="1" error="Escolha uma opção da lista." type="list">
      <formula1>=LISTA_CATEGORIAS</formula1>
    </dataValidation>
    <dataValidation sqref="L8:L207" showDropDown="0" showInputMessage="0" showErrorMessage="0" allowBlank="1" error="Escolha uma opção da lista." type="list">
      <formula1>"Sim,Não"</formula1>
    </dataValidation>
    <dataValidation sqref="N8:N207" showDropDown="0" showInputMessage="0" showErrorMessage="0" allowBlank="1" error="Escolha uma opção da lista." type="list">
      <formula1>"Sim,Não"</formula1>
    </dataValidation>
    <dataValidation sqref="O8:O207" showDropDown="0" showInputMessage="0" showErrorMessage="0" allowBlank="1" error="Escolha uma opção da lista.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12" customWidth="1" min="4" max="4"/>
    <col width="10" customWidth="1" min="5" max="5"/>
    <col width="18" customWidth="1" min="6" max="6"/>
    <col width="26" customWidth="1" min="7" max="7"/>
    <col width="44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</cols>
  <sheetData>
    <row r="1" ht="30" customHeight="1">
      <c r="A1" s="1" t="inlineStr">
        <is>
          <t>PLANILHA 3 — CRONOGRAMA</t>
        </is>
      </c>
    </row>
    <row r="2" ht="45" customHeight="1">
      <c r="A2" s="2" t="inlineStr">
        <is>
          <t>Não prometa no cronograma aquilo que o orçamento não consegue executar. Toda etapa com atividade precisa ter despesa no ORÇAMENTO (ou justificar por que não tem custo).</t>
        </is>
      </c>
    </row>
    <row r="3">
      <c r="A3" s="5" t="inlineStr">
        <is>
          <t>Início do projeto</t>
        </is>
      </c>
      <c r="B3" s="28" t="n"/>
    </row>
    <row r="4">
      <c r="A4" s="5" t="inlineStr">
        <is>
          <t>Fim do projeto</t>
        </is>
      </c>
      <c r="B4" s="28" t="n"/>
    </row>
    <row r="5">
      <c r="A5" s="5" t="inlineStr">
        <is>
          <t>Duração total (meses)</t>
        </is>
      </c>
      <c r="B5" s="7">
        <f>IF(OR(B3="",B4=""),"",DATEDIF(B3,B4,"m")+1)</f>
        <v/>
      </c>
      <c r="C5">
        <f>IF(B5="","",IF(B5&gt;36,"🔴 Acima de 36 meses de execução (confira a IN)","🟢 Dentro de 36 meses"))</f>
        <v/>
      </c>
    </row>
    <row r="7" ht="42" customHeight="1">
      <c r="A7" s="14" t="inlineStr">
        <is>
          <t>Atividade</t>
        </is>
      </c>
      <c r="B7" s="14" t="inlineStr">
        <is>
          <t>Etapa</t>
        </is>
      </c>
      <c r="C7" s="14" t="inlineStr">
        <is>
          <t>Início</t>
        </is>
      </c>
      <c r="D7" s="14" t="inlineStr">
        <is>
          <t>Fim</t>
        </is>
      </c>
      <c r="E7" s="14" t="inlineStr">
        <is>
          <t>Duração (dias)</t>
        </is>
      </c>
      <c r="F7" s="14" t="inlineStr">
        <is>
          <t>Responsável</t>
        </is>
      </c>
      <c r="G7" s="14" t="inlineStr">
        <is>
          <t>Observações</t>
        </is>
      </c>
      <c r="H7" s="25" t="inlineStr">
        <is>
          <t>ALERTAS</t>
        </is>
      </c>
      <c r="I7" s="29">
        <f>IF($B$3="","",DATE(YEAR($B$3),MONTH($B$3),1))</f>
        <v/>
      </c>
      <c r="J7" s="29">
        <f>IF(I7="","",EDATE(I7,1))</f>
        <v/>
      </c>
      <c r="K7" s="29">
        <f>IF(J7="","",EDATE(J7,1))</f>
        <v/>
      </c>
      <c r="L7" s="29">
        <f>IF(K7="","",EDATE(K7,1))</f>
        <v/>
      </c>
      <c r="M7" s="29">
        <f>IF(L7="","",EDATE(L7,1))</f>
        <v/>
      </c>
      <c r="N7" s="29">
        <f>IF(M7="","",EDATE(M7,1))</f>
        <v/>
      </c>
      <c r="O7" s="29">
        <f>IF(N7="","",EDATE(N7,1))</f>
        <v/>
      </c>
      <c r="P7" s="29">
        <f>IF(O7="","",EDATE(O7,1))</f>
        <v/>
      </c>
      <c r="Q7" s="29">
        <f>IF(P7="","",EDATE(P7,1))</f>
        <v/>
      </c>
      <c r="R7" s="29">
        <f>IF(Q7="","",EDATE(Q7,1))</f>
        <v/>
      </c>
      <c r="S7" s="29">
        <f>IF(R7="","",EDATE(R7,1))</f>
        <v/>
      </c>
      <c r="T7" s="29">
        <f>IF(S7="","",EDATE(S7,1))</f>
        <v/>
      </c>
      <c r="U7" s="29">
        <f>IF(T7="","",EDATE(T7,1))</f>
        <v/>
      </c>
      <c r="V7" s="29">
        <f>IF(U7="","",EDATE(U7,1))</f>
        <v/>
      </c>
      <c r="W7" s="29">
        <f>IF(V7="","",EDATE(V7,1))</f>
        <v/>
      </c>
      <c r="X7" s="29">
        <f>IF(W7="","",EDATE(W7,1))</f>
        <v/>
      </c>
      <c r="Y7" s="29">
        <f>IF(X7="","",EDATE(X7,1))</f>
        <v/>
      </c>
      <c r="Z7" s="29">
        <f>IF(Y7="","",EDATE(Y7,1))</f>
        <v/>
      </c>
    </row>
    <row r="8">
      <c r="A8" s="20" t="n"/>
      <c r="B8" s="20" t="n"/>
      <c r="C8" s="30" t="n"/>
      <c r="D8" s="30" t="n"/>
      <c r="E8" s="21">
        <f>IF(OR(C8="",D8=""),"",D8-C8+1)</f>
        <v/>
      </c>
      <c r="F8" s="20" t="n"/>
      <c r="G8" s="20" t="n"/>
      <c r="H8" s="21">
        <f>IF(A8="","",IF(IF(A8="","",IF(OR(C8="",D8=""),"🟡 Falta data. ",IF(D8&lt;C8,"🔴 Fim antes do início. ","")&amp;IF(OR(AND($B$3&lt;&gt;"",C8&lt;$B$3),AND($B$4&lt;&gt;"",D8&gt;$B$4)),"🔴 Fora do período do projeto. ",""))&amp;IF(B8="","🟡 Informe a etapa. ",IF(COUNTIF('ORÇAMENTO'!$A$8:$A$207,B8)=0,"🟡 Etapa sem despesa no orçamento: quem paga? ",""))&amp;IF(F8="","🟡 Sem responsável. ",""))="","🟢 OK",IF(A8="","",IF(OR(C8="",D8=""),"🟡 Falta data. ",IF(D8&lt;C8,"🔴 Fim antes do início. ","")&amp;IF(OR(AND($B$3&lt;&gt;"",C8&lt;$B$3),AND($B$4&lt;&gt;"",D8&gt;$B$4)),"🔴 Fora do período do projeto. ",""))&amp;IF(B8="","🟡 Informe a etapa. ",IF(COUNTIF('ORÇAMENTO'!$A$8:$A$207,B8)=0,"🟡 Etapa sem despesa no orçamento: quem paga? ",""))&amp;IF(F8="","🟡 Sem responsável. ",""))))</f>
        <v/>
      </c>
      <c r="I8" s="31">
        <f>IF(OR($C8="",$D8="",I$7=""),"",IF(AND($C8&lt;=EOMONTH(I$7,0),$D8&gt;=I$7),"■",""))</f>
        <v/>
      </c>
      <c r="J8" s="31">
        <f>IF(OR($C8="",$D8="",J$7=""),"",IF(AND($C8&lt;=EOMONTH(J$7,0),$D8&gt;=J$7),"■",""))</f>
        <v/>
      </c>
      <c r="K8" s="31">
        <f>IF(OR($C8="",$D8="",K$7=""),"",IF(AND($C8&lt;=EOMONTH(K$7,0),$D8&gt;=K$7),"■",""))</f>
        <v/>
      </c>
      <c r="L8" s="31">
        <f>IF(OR($C8="",$D8="",L$7=""),"",IF(AND($C8&lt;=EOMONTH(L$7,0),$D8&gt;=L$7),"■",""))</f>
        <v/>
      </c>
      <c r="M8" s="31">
        <f>IF(OR($C8="",$D8="",M$7=""),"",IF(AND($C8&lt;=EOMONTH(M$7,0),$D8&gt;=M$7),"■",""))</f>
        <v/>
      </c>
      <c r="N8" s="31">
        <f>IF(OR($C8="",$D8="",N$7=""),"",IF(AND($C8&lt;=EOMONTH(N$7,0),$D8&gt;=N$7),"■",""))</f>
        <v/>
      </c>
      <c r="O8" s="31">
        <f>IF(OR($C8="",$D8="",O$7=""),"",IF(AND($C8&lt;=EOMONTH(O$7,0),$D8&gt;=O$7),"■",""))</f>
        <v/>
      </c>
      <c r="P8" s="31">
        <f>IF(OR($C8="",$D8="",P$7=""),"",IF(AND($C8&lt;=EOMONTH(P$7,0),$D8&gt;=P$7),"■",""))</f>
        <v/>
      </c>
      <c r="Q8" s="31">
        <f>IF(OR($C8="",$D8="",Q$7=""),"",IF(AND($C8&lt;=EOMONTH(Q$7,0),$D8&gt;=Q$7),"■",""))</f>
        <v/>
      </c>
      <c r="R8" s="31">
        <f>IF(OR($C8="",$D8="",R$7=""),"",IF(AND($C8&lt;=EOMONTH(R$7,0),$D8&gt;=R$7),"■",""))</f>
        <v/>
      </c>
      <c r="S8" s="31">
        <f>IF(OR($C8="",$D8="",S$7=""),"",IF(AND($C8&lt;=EOMONTH(S$7,0),$D8&gt;=S$7),"■",""))</f>
        <v/>
      </c>
      <c r="T8" s="31">
        <f>IF(OR($C8="",$D8="",T$7=""),"",IF(AND($C8&lt;=EOMONTH(T$7,0),$D8&gt;=T$7),"■",""))</f>
        <v/>
      </c>
      <c r="U8" s="31">
        <f>IF(OR($C8="",$D8="",U$7=""),"",IF(AND($C8&lt;=EOMONTH(U$7,0),$D8&gt;=U$7),"■",""))</f>
        <v/>
      </c>
      <c r="V8" s="31">
        <f>IF(OR($C8="",$D8="",V$7=""),"",IF(AND($C8&lt;=EOMONTH(V$7,0),$D8&gt;=V$7),"■",""))</f>
        <v/>
      </c>
      <c r="W8" s="31">
        <f>IF(OR($C8="",$D8="",W$7=""),"",IF(AND($C8&lt;=EOMONTH(W$7,0),$D8&gt;=W$7),"■",""))</f>
        <v/>
      </c>
      <c r="X8" s="31">
        <f>IF(OR($C8="",$D8="",X$7=""),"",IF(AND($C8&lt;=EOMONTH(X$7,0),$D8&gt;=X$7),"■",""))</f>
        <v/>
      </c>
      <c r="Y8" s="31">
        <f>IF(OR($C8="",$D8="",Y$7=""),"",IF(AND($C8&lt;=EOMONTH(Y$7,0),$D8&gt;=Y$7),"■",""))</f>
        <v/>
      </c>
      <c r="Z8" s="31">
        <f>IF(OR($C8="",$D8="",Z$7=""),"",IF(AND($C8&lt;=EOMONTH(Z$7,0),$D8&gt;=Z$7),"■",""))</f>
        <v/>
      </c>
    </row>
    <row r="9">
      <c r="A9" s="20" t="n"/>
      <c r="B9" s="20" t="n"/>
      <c r="C9" s="30" t="n"/>
      <c r="D9" s="30" t="n"/>
      <c r="E9" s="21">
        <f>IF(OR(C9="",D9=""),"",D9-C9+1)</f>
        <v/>
      </c>
      <c r="F9" s="20" t="n"/>
      <c r="G9" s="20" t="n"/>
      <c r="H9" s="21">
        <f>IF(A9="","",IF(IF(A9="","",IF(OR(C9="",D9=""),"🟡 Falta data. ",IF(D9&lt;C9,"🔴 Fim antes do início. ","")&amp;IF(OR(AND($B$3&lt;&gt;"",C9&lt;$B$3),AND($B$4&lt;&gt;"",D9&gt;$B$4)),"🔴 Fora do período do projeto. ",""))&amp;IF(B9="","🟡 Informe a etapa. ",IF(COUNTIF('ORÇAMENTO'!$A$8:$A$207,B9)=0,"🟡 Etapa sem despesa no orçamento: quem paga? ",""))&amp;IF(F9="","🟡 Sem responsável. ",""))="","🟢 OK",IF(A9="","",IF(OR(C9="",D9=""),"🟡 Falta data. ",IF(D9&lt;C9,"🔴 Fim antes do início. ","")&amp;IF(OR(AND($B$3&lt;&gt;"",C9&lt;$B$3),AND($B$4&lt;&gt;"",D9&gt;$B$4)),"🔴 Fora do período do projeto. ",""))&amp;IF(B9="","🟡 Informe a etapa. ",IF(COUNTIF('ORÇAMENTO'!$A$8:$A$207,B9)=0,"🟡 Etapa sem despesa no orçamento: quem paga? ",""))&amp;IF(F9="","🟡 Sem responsável. ",""))))</f>
        <v/>
      </c>
      <c r="I9" s="31">
        <f>IF(OR($C9="",$D9="",I$7=""),"",IF(AND($C9&lt;=EOMONTH(I$7,0),$D9&gt;=I$7),"■",""))</f>
        <v/>
      </c>
      <c r="J9" s="31">
        <f>IF(OR($C9="",$D9="",J$7=""),"",IF(AND($C9&lt;=EOMONTH(J$7,0),$D9&gt;=J$7),"■",""))</f>
        <v/>
      </c>
      <c r="K9" s="31">
        <f>IF(OR($C9="",$D9="",K$7=""),"",IF(AND($C9&lt;=EOMONTH(K$7,0),$D9&gt;=K$7),"■",""))</f>
        <v/>
      </c>
      <c r="L9" s="31">
        <f>IF(OR($C9="",$D9="",L$7=""),"",IF(AND($C9&lt;=EOMONTH(L$7,0),$D9&gt;=L$7),"■",""))</f>
        <v/>
      </c>
      <c r="M9" s="31">
        <f>IF(OR($C9="",$D9="",M$7=""),"",IF(AND($C9&lt;=EOMONTH(M$7,0),$D9&gt;=M$7),"■",""))</f>
        <v/>
      </c>
      <c r="N9" s="31">
        <f>IF(OR($C9="",$D9="",N$7=""),"",IF(AND($C9&lt;=EOMONTH(N$7,0),$D9&gt;=N$7),"■",""))</f>
        <v/>
      </c>
      <c r="O9" s="31">
        <f>IF(OR($C9="",$D9="",O$7=""),"",IF(AND($C9&lt;=EOMONTH(O$7,0),$D9&gt;=O$7),"■",""))</f>
        <v/>
      </c>
      <c r="P9" s="31">
        <f>IF(OR($C9="",$D9="",P$7=""),"",IF(AND($C9&lt;=EOMONTH(P$7,0),$D9&gt;=P$7),"■",""))</f>
        <v/>
      </c>
      <c r="Q9" s="31">
        <f>IF(OR($C9="",$D9="",Q$7=""),"",IF(AND($C9&lt;=EOMONTH(Q$7,0),$D9&gt;=Q$7),"■",""))</f>
        <v/>
      </c>
      <c r="R9" s="31">
        <f>IF(OR($C9="",$D9="",R$7=""),"",IF(AND($C9&lt;=EOMONTH(R$7,0),$D9&gt;=R$7),"■",""))</f>
        <v/>
      </c>
      <c r="S9" s="31">
        <f>IF(OR($C9="",$D9="",S$7=""),"",IF(AND($C9&lt;=EOMONTH(S$7,0),$D9&gt;=S$7),"■",""))</f>
        <v/>
      </c>
      <c r="T9" s="31">
        <f>IF(OR($C9="",$D9="",T$7=""),"",IF(AND($C9&lt;=EOMONTH(T$7,0),$D9&gt;=T$7),"■",""))</f>
        <v/>
      </c>
      <c r="U9" s="31">
        <f>IF(OR($C9="",$D9="",U$7=""),"",IF(AND($C9&lt;=EOMONTH(U$7,0),$D9&gt;=U$7),"■",""))</f>
        <v/>
      </c>
      <c r="V9" s="31">
        <f>IF(OR($C9="",$D9="",V$7=""),"",IF(AND($C9&lt;=EOMONTH(V$7,0),$D9&gt;=V$7),"■",""))</f>
        <v/>
      </c>
      <c r="W9" s="31">
        <f>IF(OR($C9="",$D9="",W$7=""),"",IF(AND($C9&lt;=EOMONTH(W$7,0),$D9&gt;=W$7),"■",""))</f>
        <v/>
      </c>
      <c r="X9" s="31">
        <f>IF(OR($C9="",$D9="",X$7=""),"",IF(AND($C9&lt;=EOMONTH(X$7,0),$D9&gt;=X$7),"■",""))</f>
        <v/>
      </c>
      <c r="Y9" s="31">
        <f>IF(OR($C9="",$D9="",Y$7=""),"",IF(AND($C9&lt;=EOMONTH(Y$7,0),$D9&gt;=Y$7),"■",""))</f>
        <v/>
      </c>
      <c r="Z9" s="31">
        <f>IF(OR($C9="",$D9="",Z$7=""),"",IF(AND($C9&lt;=EOMONTH(Z$7,0),$D9&gt;=Z$7),"■",""))</f>
        <v/>
      </c>
    </row>
    <row r="10">
      <c r="A10" s="20" t="n"/>
      <c r="B10" s="20" t="n"/>
      <c r="C10" s="30" t="n"/>
      <c r="D10" s="30" t="n"/>
      <c r="E10" s="21">
        <f>IF(OR(C10="",D10=""),"",D10-C10+1)</f>
        <v/>
      </c>
      <c r="F10" s="20" t="n"/>
      <c r="G10" s="20" t="n"/>
      <c r="H10" s="21">
        <f>IF(A10="","",IF(IF(A10="","",IF(OR(C10="",D10=""),"🟡 Falta data. ",IF(D10&lt;C10,"🔴 Fim antes do início. ","")&amp;IF(OR(AND($B$3&lt;&gt;"",C10&lt;$B$3),AND($B$4&lt;&gt;"",D10&gt;$B$4)),"🔴 Fora do período do projeto. ",""))&amp;IF(B10="","🟡 Informe a etapa. ",IF(COUNTIF('ORÇAMENTO'!$A$8:$A$207,B10)=0,"🟡 Etapa sem despesa no orçamento: quem paga? ",""))&amp;IF(F10="","🟡 Sem responsável. ",""))="","🟢 OK",IF(A10="","",IF(OR(C10="",D10=""),"🟡 Falta data. ",IF(D10&lt;C10,"🔴 Fim antes do início. ","")&amp;IF(OR(AND($B$3&lt;&gt;"",C10&lt;$B$3),AND($B$4&lt;&gt;"",D10&gt;$B$4)),"🔴 Fora do período do projeto. ",""))&amp;IF(B10="","🟡 Informe a etapa. ",IF(COUNTIF('ORÇAMENTO'!$A$8:$A$207,B10)=0,"🟡 Etapa sem despesa no orçamento: quem paga? ",""))&amp;IF(F10="","🟡 Sem responsável. ",""))))</f>
        <v/>
      </c>
      <c r="I10" s="31">
        <f>IF(OR($C10="",$D10="",I$7=""),"",IF(AND($C10&lt;=EOMONTH(I$7,0),$D10&gt;=I$7),"■",""))</f>
        <v/>
      </c>
      <c r="J10" s="31">
        <f>IF(OR($C10="",$D10="",J$7=""),"",IF(AND($C10&lt;=EOMONTH(J$7,0),$D10&gt;=J$7),"■",""))</f>
        <v/>
      </c>
      <c r="K10" s="31">
        <f>IF(OR($C10="",$D10="",K$7=""),"",IF(AND($C10&lt;=EOMONTH(K$7,0),$D10&gt;=K$7),"■",""))</f>
        <v/>
      </c>
      <c r="L10" s="31">
        <f>IF(OR($C10="",$D10="",L$7=""),"",IF(AND($C10&lt;=EOMONTH(L$7,0),$D10&gt;=L$7),"■",""))</f>
        <v/>
      </c>
      <c r="M10" s="31">
        <f>IF(OR($C10="",$D10="",M$7=""),"",IF(AND($C10&lt;=EOMONTH(M$7,0),$D10&gt;=M$7),"■",""))</f>
        <v/>
      </c>
      <c r="N10" s="31">
        <f>IF(OR($C10="",$D10="",N$7=""),"",IF(AND($C10&lt;=EOMONTH(N$7,0),$D10&gt;=N$7),"■",""))</f>
        <v/>
      </c>
      <c r="O10" s="31">
        <f>IF(OR($C10="",$D10="",O$7=""),"",IF(AND($C10&lt;=EOMONTH(O$7,0),$D10&gt;=O$7),"■",""))</f>
        <v/>
      </c>
      <c r="P10" s="31">
        <f>IF(OR($C10="",$D10="",P$7=""),"",IF(AND($C10&lt;=EOMONTH(P$7,0),$D10&gt;=P$7),"■",""))</f>
        <v/>
      </c>
      <c r="Q10" s="31">
        <f>IF(OR($C10="",$D10="",Q$7=""),"",IF(AND($C10&lt;=EOMONTH(Q$7,0),$D10&gt;=Q$7),"■",""))</f>
        <v/>
      </c>
      <c r="R10" s="31">
        <f>IF(OR($C10="",$D10="",R$7=""),"",IF(AND($C10&lt;=EOMONTH(R$7,0),$D10&gt;=R$7),"■",""))</f>
        <v/>
      </c>
      <c r="S10" s="31">
        <f>IF(OR($C10="",$D10="",S$7=""),"",IF(AND($C10&lt;=EOMONTH(S$7,0),$D10&gt;=S$7),"■",""))</f>
        <v/>
      </c>
      <c r="T10" s="31">
        <f>IF(OR($C10="",$D10="",T$7=""),"",IF(AND($C10&lt;=EOMONTH(T$7,0),$D10&gt;=T$7),"■",""))</f>
        <v/>
      </c>
      <c r="U10" s="31">
        <f>IF(OR($C10="",$D10="",U$7=""),"",IF(AND($C10&lt;=EOMONTH(U$7,0),$D10&gt;=U$7),"■",""))</f>
        <v/>
      </c>
      <c r="V10" s="31">
        <f>IF(OR($C10="",$D10="",V$7=""),"",IF(AND($C10&lt;=EOMONTH(V$7,0),$D10&gt;=V$7),"■",""))</f>
        <v/>
      </c>
      <c r="W10" s="31">
        <f>IF(OR($C10="",$D10="",W$7=""),"",IF(AND($C10&lt;=EOMONTH(W$7,0),$D10&gt;=W$7),"■",""))</f>
        <v/>
      </c>
      <c r="X10" s="31">
        <f>IF(OR($C10="",$D10="",X$7=""),"",IF(AND($C10&lt;=EOMONTH(X$7,0),$D10&gt;=X$7),"■",""))</f>
        <v/>
      </c>
      <c r="Y10" s="31">
        <f>IF(OR($C10="",$D10="",Y$7=""),"",IF(AND($C10&lt;=EOMONTH(Y$7,0),$D10&gt;=Y$7),"■",""))</f>
        <v/>
      </c>
      <c r="Z10" s="31">
        <f>IF(OR($C10="",$D10="",Z$7=""),"",IF(AND($C10&lt;=EOMONTH(Z$7,0),$D10&gt;=Z$7),"■",""))</f>
        <v/>
      </c>
    </row>
    <row r="11">
      <c r="A11" s="20" t="n"/>
      <c r="B11" s="20" t="n"/>
      <c r="C11" s="30" t="n"/>
      <c r="D11" s="30" t="n"/>
      <c r="E11" s="21">
        <f>IF(OR(C11="",D11=""),"",D11-C11+1)</f>
        <v/>
      </c>
      <c r="F11" s="20" t="n"/>
      <c r="G11" s="20" t="n"/>
      <c r="H11" s="21">
        <f>IF(A11="","",IF(IF(A11="","",IF(OR(C11="",D11=""),"🟡 Falta data. ",IF(D11&lt;C11,"🔴 Fim antes do início. ","")&amp;IF(OR(AND($B$3&lt;&gt;"",C11&lt;$B$3),AND($B$4&lt;&gt;"",D11&gt;$B$4)),"🔴 Fora do período do projeto. ",""))&amp;IF(B11="","🟡 Informe a etapa. ",IF(COUNTIF('ORÇAMENTO'!$A$8:$A$207,B11)=0,"🟡 Etapa sem despesa no orçamento: quem paga? ",""))&amp;IF(F11="","🟡 Sem responsável. ",""))="","🟢 OK",IF(A11="","",IF(OR(C11="",D11=""),"🟡 Falta data. ",IF(D11&lt;C11,"🔴 Fim antes do início. ","")&amp;IF(OR(AND($B$3&lt;&gt;"",C11&lt;$B$3),AND($B$4&lt;&gt;"",D11&gt;$B$4)),"🔴 Fora do período do projeto. ",""))&amp;IF(B11="","🟡 Informe a etapa. ",IF(COUNTIF('ORÇAMENTO'!$A$8:$A$207,B11)=0,"🟡 Etapa sem despesa no orçamento: quem paga? ",""))&amp;IF(F11="","🟡 Sem responsável. ",""))))</f>
        <v/>
      </c>
      <c r="I11" s="31">
        <f>IF(OR($C11="",$D11="",I$7=""),"",IF(AND($C11&lt;=EOMONTH(I$7,0),$D11&gt;=I$7),"■",""))</f>
        <v/>
      </c>
      <c r="J11" s="31">
        <f>IF(OR($C11="",$D11="",J$7=""),"",IF(AND($C11&lt;=EOMONTH(J$7,0),$D11&gt;=J$7),"■",""))</f>
        <v/>
      </c>
      <c r="K11" s="31">
        <f>IF(OR($C11="",$D11="",K$7=""),"",IF(AND($C11&lt;=EOMONTH(K$7,0),$D11&gt;=K$7),"■",""))</f>
        <v/>
      </c>
      <c r="L11" s="31">
        <f>IF(OR($C11="",$D11="",L$7=""),"",IF(AND($C11&lt;=EOMONTH(L$7,0),$D11&gt;=L$7),"■",""))</f>
        <v/>
      </c>
      <c r="M11" s="31">
        <f>IF(OR($C11="",$D11="",M$7=""),"",IF(AND($C11&lt;=EOMONTH(M$7,0),$D11&gt;=M$7),"■",""))</f>
        <v/>
      </c>
      <c r="N11" s="31">
        <f>IF(OR($C11="",$D11="",N$7=""),"",IF(AND($C11&lt;=EOMONTH(N$7,0),$D11&gt;=N$7),"■",""))</f>
        <v/>
      </c>
      <c r="O11" s="31">
        <f>IF(OR($C11="",$D11="",O$7=""),"",IF(AND($C11&lt;=EOMONTH(O$7,0),$D11&gt;=O$7),"■",""))</f>
        <v/>
      </c>
      <c r="P11" s="31">
        <f>IF(OR($C11="",$D11="",P$7=""),"",IF(AND($C11&lt;=EOMONTH(P$7,0),$D11&gt;=P$7),"■",""))</f>
        <v/>
      </c>
      <c r="Q11" s="31">
        <f>IF(OR($C11="",$D11="",Q$7=""),"",IF(AND($C11&lt;=EOMONTH(Q$7,0),$D11&gt;=Q$7),"■",""))</f>
        <v/>
      </c>
      <c r="R11" s="31">
        <f>IF(OR($C11="",$D11="",R$7=""),"",IF(AND($C11&lt;=EOMONTH(R$7,0),$D11&gt;=R$7),"■",""))</f>
        <v/>
      </c>
      <c r="S11" s="31">
        <f>IF(OR($C11="",$D11="",S$7=""),"",IF(AND($C11&lt;=EOMONTH(S$7,0),$D11&gt;=S$7),"■",""))</f>
        <v/>
      </c>
      <c r="T11" s="31">
        <f>IF(OR($C11="",$D11="",T$7=""),"",IF(AND($C11&lt;=EOMONTH(T$7,0),$D11&gt;=T$7),"■",""))</f>
        <v/>
      </c>
      <c r="U11" s="31">
        <f>IF(OR($C11="",$D11="",U$7=""),"",IF(AND($C11&lt;=EOMONTH(U$7,0),$D11&gt;=U$7),"■",""))</f>
        <v/>
      </c>
      <c r="V11" s="31">
        <f>IF(OR($C11="",$D11="",V$7=""),"",IF(AND($C11&lt;=EOMONTH(V$7,0),$D11&gt;=V$7),"■",""))</f>
        <v/>
      </c>
      <c r="W11" s="31">
        <f>IF(OR($C11="",$D11="",W$7=""),"",IF(AND($C11&lt;=EOMONTH(W$7,0),$D11&gt;=W$7),"■",""))</f>
        <v/>
      </c>
      <c r="X11" s="31">
        <f>IF(OR($C11="",$D11="",X$7=""),"",IF(AND($C11&lt;=EOMONTH(X$7,0),$D11&gt;=X$7),"■",""))</f>
        <v/>
      </c>
      <c r="Y11" s="31">
        <f>IF(OR($C11="",$D11="",Y$7=""),"",IF(AND($C11&lt;=EOMONTH(Y$7,0),$D11&gt;=Y$7),"■",""))</f>
        <v/>
      </c>
      <c r="Z11" s="31">
        <f>IF(OR($C11="",$D11="",Z$7=""),"",IF(AND($C11&lt;=EOMONTH(Z$7,0),$D11&gt;=Z$7),"■",""))</f>
        <v/>
      </c>
    </row>
    <row r="12">
      <c r="A12" s="20" t="n"/>
      <c r="B12" s="20" t="n"/>
      <c r="C12" s="30" t="n"/>
      <c r="D12" s="30" t="n"/>
      <c r="E12" s="21">
        <f>IF(OR(C12="",D12=""),"",D12-C12+1)</f>
        <v/>
      </c>
      <c r="F12" s="20" t="n"/>
      <c r="G12" s="20" t="n"/>
      <c r="H12" s="21">
        <f>IF(A12="","",IF(IF(A12="","",IF(OR(C12="",D12=""),"🟡 Falta data. ",IF(D12&lt;C12,"🔴 Fim antes do início. ","")&amp;IF(OR(AND($B$3&lt;&gt;"",C12&lt;$B$3),AND($B$4&lt;&gt;"",D12&gt;$B$4)),"🔴 Fora do período do projeto. ",""))&amp;IF(B12="","🟡 Informe a etapa. ",IF(COUNTIF('ORÇAMENTO'!$A$8:$A$207,B12)=0,"🟡 Etapa sem despesa no orçamento: quem paga? ",""))&amp;IF(F12="","🟡 Sem responsável. ",""))="","🟢 OK",IF(A12="","",IF(OR(C12="",D12=""),"🟡 Falta data. ",IF(D12&lt;C12,"🔴 Fim antes do início. ","")&amp;IF(OR(AND($B$3&lt;&gt;"",C12&lt;$B$3),AND($B$4&lt;&gt;"",D12&gt;$B$4)),"🔴 Fora do período do projeto. ",""))&amp;IF(B12="","🟡 Informe a etapa. ",IF(COUNTIF('ORÇAMENTO'!$A$8:$A$207,B12)=0,"🟡 Etapa sem despesa no orçamento: quem paga? ",""))&amp;IF(F12="","🟡 Sem responsável. ",""))))</f>
        <v/>
      </c>
      <c r="I12" s="31">
        <f>IF(OR($C12="",$D12="",I$7=""),"",IF(AND($C12&lt;=EOMONTH(I$7,0),$D12&gt;=I$7),"■",""))</f>
        <v/>
      </c>
      <c r="J12" s="31">
        <f>IF(OR($C12="",$D12="",J$7=""),"",IF(AND($C12&lt;=EOMONTH(J$7,0),$D12&gt;=J$7),"■",""))</f>
        <v/>
      </c>
      <c r="K12" s="31">
        <f>IF(OR($C12="",$D12="",K$7=""),"",IF(AND($C12&lt;=EOMONTH(K$7,0),$D12&gt;=K$7),"■",""))</f>
        <v/>
      </c>
      <c r="L12" s="31">
        <f>IF(OR($C12="",$D12="",L$7=""),"",IF(AND($C12&lt;=EOMONTH(L$7,0),$D12&gt;=L$7),"■",""))</f>
        <v/>
      </c>
      <c r="M12" s="31">
        <f>IF(OR($C12="",$D12="",M$7=""),"",IF(AND($C12&lt;=EOMONTH(M$7,0),$D12&gt;=M$7),"■",""))</f>
        <v/>
      </c>
      <c r="N12" s="31">
        <f>IF(OR($C12="",$D12="",N$7=""),"",IF(AND($C12&lt;=EOMONTH(N$7,0),$D12&gt;=N$7),"■",""))</f>
        <v/>
      </c>
      <c r="O12" s="31">
        <f>IF(OR($C12="",$D12="",O$7=""),"",IF(AND($C12&lt;=EOMONTH(O$7,0),$D12&gt;=O$7),"■",""))</f>
        <v/>
      </c>
      <c r="P12" s="31">
        <f>IF(OR($C12="",$D12="",P$7=""),"",IF(AND($C12&lt;=EOMONTH(P$7,0),$D12&gt;=P$7),"■",""))</f>
        <v/>
      </c>
      <c r="Q12" s="31">
        <f>IF(OR($C12="",$D12="",Q$7=""),"",IF(AND($C12&lt;=EOMONTH(Q$7,0),$D12&gt;=Q$7),"■",""))</f>
        <v/>
      </c>
      <c r="R12" s="31">
        <f>IF(OR($C12="",$D12="",R$7=""),"",IF(AND($C12&lt;=EOMONTH(R$7,0),$D12&gt;=R$7),"■",""))</f>
        <v/>
      </c>
      <c r="S12" s="31">
        <f>IF(OR($C12="",$D12="",S$7=""),"",IF(AND($C12&lt;=EOMONTH(S$7,0),$D12&gt;=S$7),"■",""))</f>
        <v/>
      </c>
      <c r="T12" s="31">
        <f>IF(OR($C12="",$D12="",T$7=""),"",IF(AND($C12&lt;=EOMONTH(T$7,0),$D12&gt;=T$7),"■",""))</f>
        <v/>
      </c>
      <c r="U12" s="31">
        <f>IF(OR($C12="",$D12="",U$7=""),"",IF(AND($C12&lt;=EOMONTH(U$7,0),$D12&gt;=U$7),"■",""))</f>
        <v/>
      </c>
      <c r="V12" s="31">
        <f>IF(OR($C12="",$D12="",V$7=""),"",IF(AND($C12&lt;=EOMONTH(V$7,0),$D12&gt;=V$7),"■",""))</f>
        <v/>
      </c>
      <c r="W12" s="31">
        <f>IF(OR($C12="",$D12="",W$7=""),"",IF(AND($C12&lt;=EOMONTH(W$7,0),$D12&gt;=W$7),"■",""))</f>
        <v/>
      </c>
      <c r="X12" s="31">
        <f>IF(OR($C12="",$D12="",X$7=""),"",IF(AND($C12&lt;=EOMONTH(X$7,0),$D12&gt;=X$7),"■",""))</f>
        <v/>
      </c>
      <c r="Y12" s="31">
        <f>IF(OR($C12="",$D12="",Y$7=""),"",IF(AND($C12&lt;=EOMONTH(Y$7,0),$D12&gt;=Y$7),"■",""))</f>
        <v/>
      </c>
      <c r="Z12" s="31">
        <f>IF(OR($C12="",$D12="",Z$7=""),"",IF(AND($C12&lt;=EOMONTH(Z$7,0),$D12&gt;=Z$7),"■",""))</f>
        <v/>
      </c>
    </row>
    <row r="13">
      <c r="A13" s="20" t="n"/>
      <c r="B13" s="20" t="n"/>
      <c r="C13" s="30" t="n"/>
      <c r="D13" s="30" t="n"/>
      <c r="E13" s="21">
        <f>IF(OR(C13="",D13=""),"",D13-C13+1)</f>
        <v/>
      </c>
      <c r="F13" s="20" t="n"/>
      <c r="G13" s="20" t="n"/>
      <c r="H13" s="21">
        <f>IF(A13="","",IF(IF(A13="","",IF(OR(C13="",D13=""),"🟡 Falta data. ",IF(D13&lt;C13,"🔴 Fim antes do início. ","")&amp;IF(OR(AND($B$3&lt;&gt;"",C13&lt;$B$3),AND($B$4&lt;&gt;"",D13&gt;$B$4)),"🔴 Fora do período do projeto. ",""))&amp;IF(B13="","🟡 Informe a etapa. ",IF(COUNTIF('ORÇAMENTO'!$A$8:$A$207,B13)=0,"🟡 Etapa sem despesa no orçamento: quem paga? ",""))&amp;IF(F13="","🟡 Sem responsável. ",""))="","🟢 OK",IF(A13="","",IF(OR(C13="",D13=""),"🟡 Falta data. ",IF(D13&lt;C13,"🔴 Fim antes do início. ","")&amp;IF(OR(AND($B$3&lt;&gt;"",C13&lt;$B$3),AND($B$4&lt;&gt;"",D13&gt;$B$4)),"🔴 Fora do período do projeto. ",""))&amp;IF(B13="","🟡 Informe a etapa. ",IF(COUNTIF('ORÇAMENTO'!$A$8:$A$207,B13)=0,"🟡 Etapa sem despesa no orçamento: quem paga? ",""))&amp;IF(F13="","🟡 Sem responsável. ",""))))</f>
        <v/>
      </c>
      <c r="I13" s="31">
        <f>IF(OR($C13="",$D13="",I$7=""),"",IF(AND($C13&lt;=EOMONTH(I$7,0),$D13&gt;=I$7),"■",""))</f>
        <v/>
      </c>
      <c r="J13" s="31">
        <f>IF(OR($C13="",$D13="",J$7=""),"",IF(AND($C13&lt;=EOMONTH(J$7,0),$D13&gt;=J$7),"■",""))</f>
        <v/>
      </c>
      <c r="K13" s="31">
        <f>IF(OR($C13="",$D13="",K$7=""),"",IF(AND($C13&lt;=EOMONTH(K$7,0),$D13&gt;=K$7),"■",""))</f>
        <v/>
      </c>
      <c r="L13" s="31">
        <f>IF(OR($C13="",$D13="",L$7=""),"",IF(AND($C13&lt;=EOMONTH(L$7,0),$D13&gt;=L$7),"■",""))</f>
        <v/>
      </c>
      <c r="M13" s="31">
        <f>IF(OR($C13="",$D13="",M$7=""),"",IF(AND($C13&lt;=EOMONTH(M$7,0),$D13&gt;=M$7),"■",""))</f>
        <v/>
      </c>
      <c r="N13" s="31">
        <f>IF(OR($C13="",$D13="",N$7=""),"",IF(AND($C13&lt;=EOMONTH(N$7,0),$D13&gt;=N$7),"■",""))</f>
        <v/>
      </c>
      <c r="O13" s="31">
        <f>IF(OR($C13="",$D13="",O$7=""),"",IF(AND($C13&lt;=EOMONTH(O$7,0),$D13&gt;=O$7),"■",""))</f>
        <v/>
      </c>
      <c r="P13" s="31">
        <f>IF(OR($C13="",$D13="",P$7=""),"",IF(AND($C13&lt;=EOMONTH(P$7,0),$D13&gt;=P$7),"■",""))</f>
        <v/>
      </c>
      <c r="Q13" s="31">
        <f>IF(OR($C13="",$D13="",Q$7=""),"",IF(AND($C13&lt;=EOMONTH(Q$7,0),$D13&gt;=Q$7),"■",""))</f>
        <v/>
      </c>
      <c r="R13" s="31">
        <f>IF(OR($C13="",$D13="",R$7=""),"",IF(AND($C13&lt;=EOMONTH(R$7,0),$D13&gt;=R$7),"■",""))</f>
        <v/>
      </c>
      <c r="S13" s="31">
        <f>IF(OR($C13="",$D13="",S$7=""),"",IF(AND($C13&lt;=EOMONTH(S$7,0),$D13&gt;=S$7),"■",""))</f>
        <v/>
      </c>
      <c r="T13" s="31">
        <f>IF(OR($C13="",$D13="",T$7=""),"",IF(AND($C13&lt;=EOMONTH(T$7,0),$D13&gt;=T$7),"■",""))</f>
        <v/>
      </c>
      <c r="U13" s="31">
        <f>IF(OR($C13="",$D13="",U$7=""),"",IF(AND($C13&lt;=EOMONTH(U$7,0),$D13&gt;=U$7),"■",""))</f>
        <v/>
      </c>
      <c r="V13" s="31">
        <f>IF(OR($C13="",$D13="",V$7=""),"",IF(AND($C13&lt;=EOMONTH(V$7,0),$D13&gt;=V$7),"■",""))</f>
        <v/>
      </c>
      <c r="W13" s="31">
        <f>IF(OR($C13="",$D13="",W$7=""),"",IF(AND($C13&lt;=EOMONTH(W$7,0),$D13&gt;=W$7),"■",""))</f>
        <v/>
      </c>
      <c r="X13" s="31">
        <f>IF(OR($C13="",$D13="",X$7=""),"",IF(AND($C13&lt;=EOMONTH(X$7,0),$D13&gt;=X$7),"■",""))</f>
        <v/>
      </c>
      <c r="Y13" s="31">
        <f>IF(OR($C13="",$D13="",Y$7=""),"",IF(AND($C13&lt;=EOMONTH(Y$7,0),$D13&gt;=Y$7),"■",""))</f>
        <v/>
      </c>
      <c r="Z13" s="31">
        <f>IF(OR($C13="",$D13="",Z$7=""),"",IF(AND($C13&lt;=EOMONTH(Z$7,0),$D13&gt;=Z$7),"■",""))</f>
        <v/>
      </c>
    </row>
    <row r="14">
      <c r="A14" s="20" t="n"/>
      <c r="B14" s="20" t="n"/>
      <c r="C14" s="30" t="n"/>
      <c r="D14" s="30" t="n"/>
      <c r="E14" s="21">
        <f>IF(OR(C14="",D14=""),"",D14-C14+1)</f>
        <v/>
      </c>
      <c r="F14" s="20" t="n"/>
      <c r="G14" s="20" t="n"/>
      <c r="H14" s="21">
        <f>IF(A14="","",IF(IF(A14="","",IF(OR(C14="",D14=""),"🟡 Falta data. ",IF(D14&lt;C14,"🔴 Fim antes do início. ","")&amp;IF(OR(AND($B$3&lt;&gt;"",C14&lt;$B$3),AND($B$4&lt;&gt;"",D14&gt;$B$4)),"🔴 Fora do período do projeto. ",""))&amp;IF(B14="","🟡 Informe a etapa. ",IF(COUNTIF('ORÇAMENTO'!$A$8:$A$207,B14)=0,"🟡 Etapa sem despesa no orçamento: quem paga? ",""))&amp;IF(F14="","🟡 Sem responsável. ",""))="","🟢 OK",IF(A14="","",IF(OR(C14="",D14=""),"🟡 Falta data. ",IF(D14&lt;C14,"🔴 Fim antes do início. ","")&amp;IF(OR(AND($B$3&lt;&gt;"",C14&lt;$B$3),AND($B$4&lt;&gt;"",D14&gt;$B$4)),"🔴 Fora do período do projeto. ",""))&amp;IF(B14="","🟡 Informe a etapa. ",IF(COUNTIF('ORÇAMENTO'!$A$8:$A$207,B14)=0,"🟡 Etapa sem despesa no orçamento: quem paga? ",""))&amp;IF(F14="","🟡 Sem responsável. ",""))))</f>
        <v/>
      </c>
      <c r="I14" s="31">
        <f>IF(OR($C14="",$D14="",I$7=""),"",IF(AND($C14&lt;=EOMONTH(I$7,0),$D14&gt;=I$7),"■",""))</f>
        <v/>
      </c>
      <c r="J14" s="31">
        <f>IF(OR($C14="",$D14="",J$7=""),"",IF(AND($C14&lt;=EOMONTH(J$7,0),$D14&gt;=J$7),"■",""))</f>
        <v/>
      </c>
      <c r="K14" s="31">
        <f>IF(OR($C14="",$D14="",K$7=""),"",IF(AND($C14&lt;=EOMONTH(K$7,0),$D14&gt;=K$7),"■",""))</f>
        <v/>
      </c>
      <c r="L14" s="31">
        <f>IF(OR($C14="",$D14="",L$7=""),"",IF(AND($C14&lt;=EOMONTH(L$7,0),$D14&gt;=L$7),"■",""))</f>
        <v/>
      </c>
      <c r="M14" s="31">
        <f>IF(OR($C14="",$D14="",M$7=""),"",IF(AND($C14&lt;=EOMONTH(M$7,0),$D14&gt;=M$7),"■",""))</f>
        <v/>
      </c>
      <c r="N14" s="31">
        <f>IF(OR($C14="",$D14="",N$7=""),"",IF(AND($C14&lt;=EOMONTH(N$7,0),$D14&gt;=N$7),"■",""))</f>
        <v/>
      </c>
      <c r="O14" s="31">
        <f>IF(OR($C14="",$D14="",O$7=""),"",IF(AND($C14&lt;=EOMONTH(O$7,0),$D14&gt;=O$7),"■",""))</f>
        <v/>
      </c>
      <c r="P14" s="31">
        <f>IF(OR($C14="",$D14="",P$7=""),"",IF(AND($C14&lt;=EOMONTH(P$7,0),$D14&gt;=P$7),"■",""))</f>
        <v/>
      </c>
      <c r="Q14" s="31">
        <f>IF(OR($C14="",$D14="",Q$7=""),"",IF(AND($C14&lt;=EOMONTH(Q$7,0),$D14&gt;=Q$7),"■",""))</f>
        <v/>
      </c>
      <c r="R14" s="31">
        <f>IF(OR($C14="",$D14="",R$7=""),"",IF(AND($C14&lt;=EOMONTH(R$7,0),$D14&gt;=R$7),"■",""))</f>
        <v/>
      </c>
      <c r="S14" s="31">
        <f>IF(OR($C14="",$D14="",S$7=""),"",IF(AND($C14&lt;=EOMONTH(S$7,0),$D14&gt;=S$7),"■",""))</f>
        <v/>
      </c>
      <c r="T14" s="31">
        <f>IF(OR($C14="",$D14="",T$7=""),"",IF(AND($C14&lt;=EOMONTH(T$7,0),$D14&gt;=T$7),"■",""))</f>
        <v/>
      </c>
      <c r="U14" s="31">
        <f>IF(OR($C14="",$D14="",U$7=""),"",IF(AND($C14&lt;=EOMONTH(U$7,0),$D14&gt;=U$7),"■",""))</f>
        <v/>
      </c>
      <c r="V14" s="31">
        <f>IF(OR($C14="",$D14="",V$7=""),"",IF(AND($C14&lt;=EOMONTH(V$7,0),$D14&gt;=V$7),"■",""))</f>
        <v/>
      </c>
      <c r="W14" s="31">
        <f>IF(OR($C14="",$D14="",W$7=""),"",IF(AND($C14&lt;=EOMONTH(W$7,0),$D14&gt;=W$7),"■",""))</f>
        <v/>
      </c>
      <c r="X14" s="31">
        <f>IF(OR($C14="",$D14="",X$7=""),"",IF(AND($C14&lt;=EOMONTH(X$7,0),$D14&gt;=X$7),"■",""))</f>
        <v/>
      </c>
      <c r="Y14" s="31">
        <f>IF(OR($C14="",$D14="",Y$7=""),"",IF(AND($C14&lt;=EOMONTH(Y$7,0),$D14&gt;=Y$7),"■",""))</f>
        <v/>
      </c>
      <c r="Z14" s="31">
        <f>IF(OR($C14="",$D14="",Z$7=""),"",IF(AND($C14&lt;=EOMONTH(Z$7,0),$D14&gt;=Z$7),"■",""))</f>
        <v/>
      </c>
    </row>
    <row r="15">
      <c r="A15" s="20" t="n"/>
      <c r="B15" s="20" t="n"/>
      <c r="C15" s="30" t="n"/>
      <c r="D15" s="30" t="n"/>
      <c r="E15" s="21">
        <f>IF(OR(C15="",D15=""),"",D15-C15+1)</f>
        <v/>
      </c>
      <c r="F15" s="20" t="n"/>
      <c r="G15" s="20" t="n"/>
      <c r="H15" s="21">
        <f>IF(A15="","",IF(IF(A15="","",IF(OR(C15="",D15=""),"🟡 Falta data. ",IF(D15&lt;C15,"🔴 Fim antes do início. ","")&amp;IF(OR(AND($B$3&lt;&gt;"",C15&lt;$B$3),AND($B$4&lt;&gt;"",D15&gt;$B$4)),"🔴 Fora do período do projeto. ",""))&amp;IF(B15="","🟡 Informe a etapa. ",IF(COUNTIF('ORÇAMENTO'!$A$8:$A$207,B15)=0,"🟡 Etapa sem despesa no orçamento: quem paga? ",""))&amp;IF(F15="","🟡 Sem responsável. ",""))="","🟢 OK",IF(A15="","",IF(OR(C15="",D15=""),"🟡 Falta data. ",IF(D15&lt;C15,"🔴 Fim antes do início. ","")&amp;IF(OR(AND($B$3&lt;&gt;"",C15&lt;$B$3),AND($B$4&lt;&gt;"",D15&gt;$B$4)),"🔴 Fora do período do projeto. ",""))&amp;IF(B15="","🟡 Informe a etapa. ",IF(COUNTIF('ORÇAMENTO'!$A$8:$A$207,B15)=0,"🟡 Etapa sem despesa no orçamento: quem paga? ",""))&amp;IF(F15="","🟡 Sem responsável. ",""))))</f>
        <v/>
      </c>
      <c r="I15" s="31">
        <f>IF(OR($C15="",$D15="",I$7=""),"",IF(AND($C15&lt;=EOMONTH(I$7,0),$D15&gt;=I$7),"■",""))</f>
        <v/>
      </c>
      <c r="J15" s="31">
        <f>IF(OR($C15="",$D15="",J$7=""),"",IF(AND($C15&lt;=EOMONTH(J$7,0),$D15&gt;=J$7),"■",""))</f>
        <v/>
      </c>
      <c r="K15" s="31">
        <f>IF(OR($C15="",$D15="",K$7=""),"",IF(AND($C15&lt;=EOMONTH(K$7,0),$D15&gt;=K$7),"■",""))</f>
        <v/>
      </c>
      <c r="L15" s="31">
        <f>IF(OR($C15="",$D15="",L$7=""),"",IF(AND($C15&lt;=EOMONTH(L$7,0),$D15&gt;=L$7),"■",""))</f>
        <v/>
      </c>
      <c r="M15" s="31">
        <f>IF(OR($C15="",$D15="",M$7=""),"",IF(AND($C15&lt;=EOMONTH(M$7,0),$D15&gt;=M$7),"■",""))</f>
        <v/>
      </c>
      <c r="N15" s="31">
        <f>IF(OR($C15="",$D15="",N$7=""),"",IF(AND($C15&lt;=EOMONTH(N$7,0),$D15&gt;=N$7),"■",""))</f>
        <v/>
      </c>
      <c r="O15" s="31">
        <f>IF(OR($C15="",$D15="",O$7=""),"",IF(AND($C15&lt;=EOMONTH(O$7,0),$D15&gt;=O$7),"■",""))</f>
        <v/>
      </c>
      <c r="P15" s="31">
        <f>IF(OR($C15="",$D15="",P$7=""),"",IF(AND($C15&lt;=EOMONTH(P$7,0),$D15&gt;=P$7),"■",""))</f>
        <v/>
      </c>
      <c r="Q15" s="31">
        <f>IF(OR($C15="",$D15="",Q$7=""),"",IF(AND($C15&lt;=EOMONTH(Q$7,0),$D15&gt;=Q$7),"■",""))</f>
        <v/>
      </c>
      <c r="R15" s="31">
        <f>IF(OR($C15="",$D15="",R$7=""),"",IF(AND($C15&lt;=EOMONTH(R$7,0),$D15&gt;=R$7),"■",""))</f>
        <v/>
      </c>
      <c r="S15" s="31">
        <f>IF(OR($C15="",$D15="",S$7=""),"",IF(AND($C15&lt;=EOMONTH(S$7,0),$D15&gt;=S$7),"■",""))</f>
        <v/>
      </c>
      <c r="T15" s="31">
        <f>IF(OR($C15="",$D15="",T$7=""),"",IF(AND($C15&lt;=EOMONTH(T$7,0),$D15&gt;=T$7),"■",""))</f>
        <v/>
      </c>
      <c r="U15" s="31">
        <f>IF(OR($C15="",$D15="",U$7=""),"",IF(AND($C15&lt;=EOMONTH(U$7,0),$D15&gt;=U$7),"■",""))</f>
        <v/>
      </c>
      <c r="V15" s="31">
        <f>IF(OR($C15="",$D15="",V$7=""),"",IF(AND($C15&lt;=EOMONTH(V$7,0),$D15&gt;=V$7),"■",""))</f>
        <v/>
      </c>
      <c r="W15" s="31">
        <f>IF(OR($C15="",$D15="",W$7=""),"",IF(AND($C15&lt;=EOMONTH(W$7,0),$D15&gt;=W$7),"■",""))</f>
        <v/>
      </c>
      <c r="X15" s="31">
        <f>IF(OR($C15="",$D15="",X$7=""),"",IF(AND($C15&lt;=EOMONTH(X$7,0),$D15&gt;=X$7),"■",""))</f>
        <v/>
      </c>
      <c r="Y15" s="31">
        <f>IF(OR($C15="",$D15="",Y$7=""),"",IF(AND($C15&lt;=EOMONTH(Y$7,0),$D15&gt;=Y$7),"■",""))</f>
        <v/>
      </c>
      <c r="Z15" s="31">
        <f>IF(OR($C15="",$D15="",Z$7=""),"",IF(AND($C15&lt;=EOMONTH(Z$7,0),$D15&gt;=Z$7),"■",""))</f>
        <v/>
      </c>
    </row>
    <row r="16">
      <c r="A16" s="20" t="n"/>
      <c r="B16" s="20" t="n"/>
      <c r="C16" s="30" t="n"/>
      <c r="D16" s="30" t="n"/>
      <c r="E16" s="21">
        <f>IF(OR(C16="",D16=""),"",D16-C16+1)</f>
        <v/>
      </c>
      <c r="F16" s="20" t="n"/>
      <c r="G16" s="20" t="n"/>
      <c r="H16" s="21">
        <f>IF(A16="","",IF(IF(A16="","",IF(OR(C16="",D16=""),"🟡 Falta data. ",IF(D16&lt;C16,"🔴 Fim antes do início. ","")&amp;IF(OR(AND($B$3&lt;&gt;"",C16&lt;$B$3),AND($B$4&lt;&gt;"",D16&gt;$B$4)),"🔴 Fora do período do projeto. ",""))&amp;IF(B16="","🟡 Informe a etapa. ",IF(COUNTIF('ORÇAMENTO'!$A$8:$A$207,B16)=0,"🟡 Etapa sem despesa no orçamento: quem paga? ",""))&amp;IF(F16="","🟡 Sem responsável. ",""))="","🟢 OK",IF(A16="","",IF(OR(C16="",D16=""),"🟡 Falta data. ",IF(D16&lt;C16,"🔴 Fim antes do início. ","")&amp;IF(OR(AND($B$3&lt;&gt;"",C16&lt;$B$3),AND($B$4&lt;&gt;"",D16&gt;$B$4)),"🔴 Fora do período do projeto. ",""))&amp;IF(B16="","🟡 Informe a etapa. ",IF(COUNTIF('ORÇAMENTO'!$A$8:$A$207,B16)=0,"🟡 Etapa sem despesa no orçamento: quem paga? ",""))&amp;IF(F16="","🟡 Sem responsável. ",""))))</f>
        <v/>
      </c>
      <c r="I16" s="31">
        <f>IF(OR($C16="",$D16="",I$7=""),"",IF(AND($C16&lt;=EOMONTH(I$7,0),$D16&gt;=I$7),"■",""))</f>
        <v/>
      </c>
      <c r="J16" s="31">
        <f>IF(OR($C16="",$D16="",J$7=""),"",IF(AND($C16&lt;=EOMONTH(J$7,0),$D16&gt;=J$7),"■",""))</f>
        <v/>
      </c>
      <c r="K16" s="31">
        <f>IF(OR($C16="",$D16="",K$7=""),"",IF(AND($C16&lt;=EOMONTH(K$7,0),$D16&gt;=K$7),"■",""))</f>
        <v/>
      </c>
      <c r="L16" s="31">
        <f>IF(OR($C16="",$D16="",L$7=""),"",IF(AND($C16&lt;=EOMONTH(L$7,0),$D16&gt;=L$7),"■",""))</f>
        <v/>
      </c>
      <c r="M16" s="31">
        <f>IF(OR($C16="",$D16="",M$7=""),"",IF(AND($C16&lt;=EOMONTH(M$7,0),$D16&gt;=M$7),"■",""))</f>
        <v/>
      </c>
      <c r="N16" s="31">
        <f>IF(OR($C16="",$D16="",N$7=""),"",IF(AND($C16&lt;=EOMONTH(N$7,0),$D16&gt;=N$7),"■",""))</f>
        <v/>
      </c>
      <c r="O16" s="31">
        <f>IF(OR($C16="",$D16="",O$7=""),"",IF(AND($C16&lt;=EOMONTH(O$7,0),$D16&gt;=O$7),"■",""))</f>
        <v/>
      </c>
      <c r="P16" s="31">
        <f>IF(OR($C16="",$D16="",P$7=""),"",IF(AND($C16&lt;=EOMONTH(P$7,0),$D16&gt;=P$7),"■",""))</f>
        <v/>
      </c>
      <c r="Q16" s="31">
        <f>IF(OR($C16="",$D16="",Q$7=""),"",IF(AND($C16&lt;=EOMONTH(Q$7,0),$D16&gt;=Q$7),"■",""))</f>
        <v/>
      </c>
      <c r="R16" s="31">
        <f>IF(OR($C16="",$D16="",R$7=""),"",IF(AND($C16&lt;=EOMONTH(R$7,0),$D16&gt;=R$7),"■",""))</f>
        <v/>
      </c>
      <c r="S16" s="31">
        <f>IF(OR($C16="",$D16="",S$7=""),"",IF(AND($C16&lt;=EOMONTH(S$7,0),$D16&gt;=S$7),"■",""))</f>
        <v/>
      </c>
      <c r="T16" s="31">
        <f>IF(OR($C16="",$D16="",T$7=""),"",IF(AND($C16&lt;=EOMONTH(T$7,0),$D16&gt;=T$7),"■",""))</f>
        <v/>
      </c>
      <c r="U16" s="31">
        <f>IF(OR($C16="",$D16="",U$7=""),"",IF(AND($C16&lt;=EOMONTH(U$7,0),$D16&gt;=U$7),"■",""))</f>
        <v/>
      </c>
      <c r="V16" s="31">
        <f>IF(OR($C16="",$D16="",V$7=""),"",IF(AND($C16&lt;=EOMONTH(V$7,0),$D16&gt;=V$7),"■",""))</f>
        <v/>
      </c>
      <c r="W16" s="31">
        <f>IF(OR($C16="",$D16="",W$7=""),"",IF(AND($C16&lt;=EOMONTH(W$7,0),$D16&gt;=W$7),"■",""))</f>
        <v/>
      </c>
      <c r="X16" s="31">
        <f>IF(OR($C16="",$D16="",X$7=""),"",IF(AND($C16&lt;=EOMONTH(X$7,0),$D16&gt;=X$7),"■",""))</f>
        <v/>
      </c>
      <c r="Y16" s="31">
        <f>IF(OR($C16="",$D16="",Y$7=""),"",IF(AND($C16&lt;=EOMONTH(Y$7,0),$D16&gt;=Y$7),"■",""))</f>
        <v/>
      </c>
      <c r="Z16" s="31">
        <f>IF(OR($C16="",$D16="",Z$7=""),"",IF(AND($C16&lt;=EOMONTH(Z$7,0),$D16&gt;=Z$7),"■",""))</f>
        <v/>
      </c>
    </row>
    <row r="17">
      <c r="A17" s="20" t="n"/>
      <c r="B17" s="20" t="n"/>
      <c r="C17" s="30" t="n"/>
      <c r="D17" s="30" t="n"/>
      <c r="E17" s="21">
        <f>IF(OR(C17="",D17=""),"",D17-C17+1)</f>
        <v/>
      </c>
      <c r="F17" s="20" t="n"/>
      <c r="G17" s="20" t="n"/>
      <c r="H17" s="21">
        <f>IF(A17="","",IF(IF(A17="","",IF(OR(C17="",D17=""),"🟡 Falta data. ",IF(D17&lt;C17,"🔴 Fim antes do início. ","")&amp;IF(OR(AND($B$3&lt;&gt;"",C17&lt;$B$3),AND($B$4&lt;&gt;"",D17&gt;$B$4)),"🔴 Fora do período do projeto. ",""))&amp;IF(B17="","🟡 Informe a etapa. ",IF(COUNTIF('ORÇAMENTO'!$A$8:$A$207,B17)=0,"🟡 Etapa sem despesa no orçamento: quem paga? ",""))&amp;IF(F17="","🟡 Sem responsável. ",""))="","🟢 OK",IF(A17="","",IF(OR(C17="",D17=""),"🟡 Falta data. ",IF(D17&lt;C17,"🔴 Fim antes do início. ","")&amp;IF(OR(AND($B$3&lt;&gt;"",C17&lt;$B$3),AND($B$4&lt;&gt;"",D17&gt;$B$4)),"🔴 Fora do período do projeto. ",""))&amp;IF(B17="","🟡 Informe a etapa. ",IF(COUNTIF('ORÇAMENTO'!$A$8:$A$207,B17)=0,"🟡 Etapa sem despesa no orçamento: quem paga? ",""))&amp;IF(F17="","🟡 Sem responsável. ",""))))</f>
        <v/>
      </c>
      <c r="I17" s="31">
        <f>IF(OR($C17="",$D17="",I$7=""),"",IF(AND($C17&lt;=EOMONTH(I$7,0),$D17&gt;=I$7),"■",""))</f>
        <v/>
      </c>
      <c r="J17" s="31">
        <f>IF(OR($C17="",$D17="",J$7=""),"",IF(AND($C17&lt;=EOMONTH(J$7,0),$D17&gt;=J$7),"■",""))</f>
        <v/>
      </c>
      <c r="K17" s="31">
        <f>IF(OR($C17="",$D17="",K$7=""),"",IF(AND($C17&lt;=EOMONTH(K$7,0),$D17&gt;=K$7),"■",""))</f>
        <v/>
      </c>
      <c r="L17" s="31">
        <f>IF(OR($C17="",$D17="",L$7=""),"",IF(AND($C17&lt;=EOMONTH(L$7,0),$D17&gt;=L$7),"■",""))</f>
        <v/>
      </c>
      <c r="M17" s="31">
        <f>IF(OR($C17="",$D17="",M$7=""),"",IF(AND($C17&lt;=EOMONTH(M$7,0),$D17&gt;=M$7),"■",""))</f>
        <v/>
      </c>
      <c r="N17" s="31">
        <f>IF(OR($C17="",$D17="",N$7=""),"",IF(AND($C17&lt;=EOMONTH(N$7,0),$D17&gt;=N$7),"■",""))</f>
        <v/>
      </c>
      <c r="O17" s="31">
        <f>IF(OR($C17="",$D17="",O$7=""),"",IF(AND($C17&lt;=EOMONTH(O$7,0),$D17&gt;=O$7),"■",""))</f>
        <v/>
      </c>
      <c r="P17" s="31">
        <f>IF(OR($C17="",$D17="",P$7=""),"",IF(AND($C17&lt;=EOMONTH(P$7,0),$D17&gt;=P$7),"■",""))</f>
        <v/>
      </c>
      <c r="Q17" s="31">
        <f>IF(OR($C17="",$D17="",Q$7=""),"",IF(AND($C17&lt;=EOMONTH(Q$7,0),$D17&gt;=Q$7),"■",""))</f>
        <v/>
      </c>
      <c r="R17" s="31">
        <f>IF(OR($C17="",$D17="",R$7=""),"",IF(AND($C17&lt;=EOMONTH(R$7,0),$D17&gt;=R$7),"■",""))</f>
        <v/>
      </c>
      <c r="S17" s="31">
        <f>IF(OR($C17="",$D17="",S$7=""),"",IF(AND($C17&lt;=EOMONTH(S$7,0),$D17&gt;=S$7),"■",""))</f>
        <v/>
      </c>
      <c r="T17" s="31">
        <f>IF(OR($C17="",$D17="",T$7=""),"",IF(AND($C17&lt;=EOMONTH(T$7,0),$D17&gt;=T$7),"■",""))</f>
        <v/>
      </c>
      <c r="U17" s="31">
        <f>IF(OR($C17="",$D17="",U$7=""),"",IF(AND($C17&lt;=EOMONTH(U$7,0),$D17&gt;=U$7),"■",""))</f>
        <v/>
      </c>
      <c r="V17" s="31">
        <f>IF(OR($C17="",$D17="",V$7=""),"",IF(AND($C17&lt;=EOMONTH(V$7,0),$D17&gt;=V$7),"■",""))</f>
        <v/>
      </c>
      <c r="W17" s="31">
        <f>IF(OR($C17="",$D17="",W$7=""),"",IF(AND($C17&lt;=EOMONTH(W$7,0),$D17&gt;=W$7),"■",""))</f>
        <v/>
      </c>
      <c r="X17" s="31">
        <f>IF(OR($C17="",$D17="",X$7=""),"",IF(AND($C17&lt;=EOMONTH(X$7,0),$D17&gt;=X$7),"■",""))</f>
        <v/>
      </c>
      <c r="Y17" s="31">
        <f>IF(OR($C17="",$D17="",Y$7=""),"",IF(AND($C17&lt;=EOMONTH(Y$7,0),$D17&gt;=Y$7),"■",""))</f>
        <v/>
      </c>
      <c r="Z17" s="31">
        <f>IF(OR($C17="",$D17="",Z$7=""),"",IF(AND($C17&lt;=EOMONTH(Z$7,0),$D17&gt;=Z$7),"■",""))</f>
        <v/>
      </c>
    </row>
    <row r="18">
      <c r="A18" s="20" t="n"/>
      <c r="B18" s="20" t="n"/>
      <c r="C18" s="30" t="n"/>
      <c r="D18" s="30" t="n"/>
      <c r="E18" s="21">
        <f>IF(OR(C18="",D18=""),"",D18-C18+1)</f>
        <v/>
      </c>
      <c r="F18" s="20" t="n"/>
      <c r="G18" s="20" t="n"/>
      <c r="H18" s="21">
        <f>IF(A18="","",IF(IF(A18="","",IF(OR(C18="",D18=""),"🟡 Falta data. ",IF(D18&lt;C18,"🔴 Fim antes do início. ","")&amp;IF(OR(AND($B$3&lt;&gt;"",C18&lt;$B$3),AND($B$4&lt;&gt;"",D18&gt;$B$4)),"🔴 Fora do período do projeto. ",""))&amp;IF(B18="","🟡 Informe a etapa. ",IF(COUNTIF('ORÇAMENTO'!$A$8:$A$207,B18)=0,"🟡 Etapa sem despesa no orçamento: quem paga? ",""))&amp;IF(F18="","🟡 Sem responsável. ",""))="","🟢 OK",IF(A18="","",IF(OR(C18="",D18=""),"🟡 Falta data. ",IF(D18&lt;C18,"🔴 Fim antes do início. ","")&amp;IF(OR(AND($B$3&lt;&gt;"",C18&lt;$B$3),AND($B$4&lt;&gt;"",D18&gt;$B$4)),"🔴 Fora do período do projeto. ",""))&amp;IF(B18="","🟡 Informe a etapa. ",IF(COUNTIF('ORÇAMENTO'!$A$8:$A$207,B18)=0,"🟡 Etapa sem despesa no orçamento: quem paga? ",""))&amp;IF(F18="","🟡 Sem responsável. ",""))))</f>
        <v/>
      </c>
      <c r="I18" s="31">
        <f>IF(OR($C18="",$D18="",I$7=""),"",IF(AND($C18&lt;=EOMONTH(I$7,0),$D18&gt;=I$7),"■",""))</f>
        <v/>
      </c>
      <c r="J18" s="31">
        <f>IF(OR($C18="",$D18="",J$7=""),"",IF(AND($C18&lt;=EOMONTH(J$7,0),$D18&gt;=J$7),"■",""))</f>
        <v/>
      </c>
      <c r="K18" s="31">
        <f>IF(OR($C18="",$D18="",K$7=""),"",IF(AND($C18&lt;=EOMONTH(K$7,0),$D18&gt;=K$7),"■",""))</f>
        <v/>
      </c>
      <c r="L18" s="31">
        <f>IF(OR($C18="",$D18="",L$7=""),"",IF(AND($C18&lt;=EOMONTH(L$7,0),$D18&gt;=L$7),"■",""))</f>
        <v/>
      </c>
      <c r="M18" s="31">
        <f>IF(OR($C18="",$D18="",M$7=""),"",IF(AND($C18&lt;=EOMONTH(M$7,0),$D18&gt;=M$7),"■",""))</f>
        <v/>
      </c>
      <c r="N18" s="31">
        <f>IF(OR($C18="",$D18="",N$7=""),"",IF(AND($C18&lt;=EOMONTH(N$7,0),$D18&gt;=N$7),"■",""))</f>
        <v/>
      </c>
      <c r="O18" s="31">
        <f>IF(OR($C18="",$D18="",O$7=""),"",IF(AND($C18&lt;=EOMONTH(O$7,0),$D18&gt;=O$7),"■",""))</f>
        <v/>
      </c>
      <c r="P18" s="31">
        <f>IF(OR($C18="",$D18="",P$7=""),"",IF(AND($C18&lt;=EOMONTH(P$7,0),$D18&gt;=P$7),"■",""))</f>
        <v/>
      </c>
      <c r="Q18" s="31">
        <f>IF(OR($C18="",$D18="",Q$7=""),"",IF(AND($C18&lt;=EOMONTH(Q$7,0),$D18&gt;=Q$7),"■",""))</f>
        <v/>
      </c>
      <c r="R18" s="31">
        <f>IF(OR($C18="",$D18="",R$7=""),"",IF(AND($C18&lt;=EOMONTH(R$7,0),$D18&gt;=R$7),"■",""))</f>
        <v/>
      </c>
      <c r="S18" s="31">
        <f>IF(OR($C18="",$D18="",S$7=""),"",IF(AND($C18&lt;=EOMONTH(S$7,0),$D18&gt;=S$7),"■",""))</f>
        <v/>
      </c>
      <c r="T18" s="31">
        <f>IF(OR($C18="",$D18="",T$7=""),"",IF(AND($C18&lt;=EOMONTH(T$7,0),$D18&gt;=T$7),"■",""))</f>
        <v/>
      </c>
      <c r="U18" s="31">
        <f>IF(OR($C18="",$D18="",U$7=""),"",IF(AND($C18&lt;=EOMONTH(U$7,0),$D18&gt;=U$7),"■",""))</f>
        <v/>
      </c>
      <c r="V18" s="31">
        <f>IF(OR($C18="",$D18="",V$7=""),"",IF(AND($C18&lt;=EOMONTH(V$7,0),$D18&gt;=V$7),"■",""))</f>
        <v/>
      </c>
      <c r="W18" s="31">
        <f>IF(OR($C18="",$D18="",W$7=""),"",IF(AND($C18&lt;=EOMONTH(W$7,0),$D18&gt;=W$7),"■",""))</f>
        <v/>
      </c>
      <c r="X18" s="31">
        <f>IF(OR($C18="",$D18="",X$7=""),"",IF(AND($C18&lt;=EOMONTH(X$7,0),$D18&gt;=X$7),"■",""))</f>
        <v/>
      </c>
      <c r="Y18" s="31">
        <f>IF(OR($C18="",$D18="",Y$7=""),"",IF(AND($C18&lt;=EOMONTH(Y$7,0),$D18&gt;=Y$7),"■",""))</f>
        <v/>
      </c>
      <c r="Z18" s="31">
        <f>IF(OR($C18="",$D18="",Z$7=""),"",IF(AND($C18&lt;=EOMONTH(Z$7,0),$D18&gt;=Z$7),"■",""))</f>
        <v/>
      </c>
    </row>
    <row r="19">
      <c r="A19" s="20" t="n"/>
      <c r="B19" s="20" t="n"/>
      <c r="C19" s="30" t="n"/>
      <c r="D19" s="30" t="n"/>
      <c r="E19" s="21">
        <f>IF(OR(C19="",D19=""),"",D19-C19+1)</f>
        <v/>
      </c>
      <c r="F19" s="20" t="n"/>
      <c r="G19" s="20" t="n"/>
      <c r="H19" s="21">
        <f>IF(A19="","",IF(IF(A19="","",IF(OR(C19="",D19=""),"🟡 Falta data. ",IF(D19&lt;C19,"🔴 Fim antes do início. ","")&amp;IF(OR(AND($B$3&lt;&gt;"",C19&lt;$B$3),AND($B$4&lt;&gt;"",D19&gt;$B$4)),"🔴 Fora do período do projeto. ",""))&amp;IF(B19="","🟡 Informe a etapa. ",IF(COUNTIF('ORÇAMENTO'!$A$8:$A$207,B19)=0,"🟡 Etapa sem despesa no orçamento: quem paga? ",""))&amp;IF(F19="","🟡 Sem responsável. ",""))="","🟢 OK",IF(A19="","",IF(OR(C19="",D19=""),"🟡 Falta data. ",IF(D19&lt;C19,"🔴 Fim antes do início. ","")&amp;IF(OR(AND($B$3&lt;&gt;"",C19&lt;$B$3),AND($B$4&lt;&gt;"",D19&gt;$B$4)),"🔴 Fora do período do projeto. ",""))&amp;IF(B19="","🟡 Informe a etapa. ",IF(COUNTIF('ORÇAMENTO'!$A$8:$A$207,B19)=0,"🟡 Etapa sem despesa no orçamento: quem paga? ",""))&amp;IF(F19="","🟡 Sem responsável. ",""))))</f>
        <v/>
      </c>
      <c r="I19" s="31">
        <f>IF(OR($C19="",$D19="",I$7=""),"",IF(AND($C19&lt;=EOMONTH(I$7,0),$D19&gt;=I$7),"■",""))</f>
        <v/>
      </c>
      <c r="J19" s="31">
        <f>IF(OR($C19="",$D19="",J$7=""),"",IF(AND($C19&lt;=EOMONTH(J$7,0),$D19&gt;=J$7),"■",""))</f>
        <v/>
      </c>
      <c r="K19" s="31">
        <f>IF(OR($C19="",$D19="",K$7=""),"",IF(AND($C19&lt;=EOMONTH(K$7,0),$D19&gt;=K$7),"■",""))</f>
        <v/>
      </c>
      <c r="L19" s="31">
        <f>IF(OR($C19="",$D19="",L$7=""),"",IF(AND($C19&lt;=EOMONTH(L$7,0),$D19&gt;=L$7),"■",""))</f>
        <v/>
      </c>
      <c r="M19" s="31">
        <f>IF(OR($C19="",$D19="",M$7=""),"",IF(AND($C19&lt;=EOMONTH(M$7,0),$D19&gt;=M$7),"■",""))</f>
        <v/>
      </c>
      <c r="N19" s="31">
        <f>IF(OR($C19="",$D19="",N$7=""),"",IF(AND($C19&lt;=EOMONTH(N$7,0),$D19&gt;=N$7),"■",""))</f>
        <v/>
      </c>
      <c r="O19" s="31">
        <f>IF(OR($C19="",$D19="",O$7=""),"",IF(AND($C19&lt;=EOMONTH(O$7,0),$D19&gt;=O$7),"■",""))</f>
        <v/>
      </c>
      <c r="P19" s="31">
        <f>IF(OR($C19="",$D19="",P$7=""),"",IF(AND($C19&lt;=EOMONTH(P$7,0),$D19&gt;=P$7),"■",""))</f>
        <v/>
      </c>
      <c r="Q19" s="31">
        <f>IF(OR($C19="",$D19="",Q$7=""),"",IF(AND($C19&lt;=EOMONTH(Q$7,0),$D19&gt;=Q$7),"■",""))</f>
        <v/>
      </c>
      <c r="R19" s="31">
        <f>IF(OR($C19="",$D19="",R$7=""),"",IF(AND($C19&lt;=EOMONTH(R$7,0),$D19&gt;=R$7),"■",""))</f>
        <v/>
      </c>
      <c r="S19" s="31">
        <f>IF(OR($C19="",$D19="",S$7=""),"",IF(AND($C19&lt;=EOMONTH(S$7,0),$D19&gt;=S$7),"■",""))</f>
        <v/>
      </c>
      <c r="T19" s="31">
        <f>IF(OR($C19="",$D19="",T$7=""),"",IF(AND($C19&lt;=EOMONTH(T$7,0),$D19&gt;=T$7),"■",""))</f>
        <v/>
      </c>
      <c r="U19" s="31">
        <f>IF(OR($C19="",$D19="",U$7=""),"",IF(AND($C19&lt;=EOMONTH(U$7,0),$D19&gt;=U$7),"■",""))</f>
        <v/>
      </c>
      <c r="V19" s="31">
        <f>IF(OR($C19="",$D19="",V$7=""),"",IF(AND($C19&lt;=EOMONTH(V$7,0),$D19&gt;=V$7),"■",""))</f>
        <v/>
      </c>
      <c r="W19" s="31">
        <f>IF(OR($C19="",$D19="",W$7=""),"",IF(AND($C19&lt;=EOMONTH(W$7,0),$D19&gt;=W$7),"■",""))</f>
        <v/>
      </c>
      <c r="X19" s="31">
        <f>IF(OR($C19="",$D19="",X$7=""),"",IF(AND($C19&lt;=EOMONTH(X$7,0),$D19&gt;=X$7),"■",""))</f>
        <v/>
      </c>
      <c r="Y19" s="31">
        <f>IF(OR($C19="",$D19="",Y$7=""),"",IF(AND($C19&lt;=EOMONTH(Y$7,0),$D19&gt;=Y$7),"■",""))</f>
        <v/>
      </c>
      <c r="Z19" s="31">
        <f>IF(OR($C19="",$D19="",Z$7=""),"",IF(AND($C19&lt;=EOMONTH(Z$7,0),$D19&gt;=Z$7),"■",""))</f>
        <v/>
      </c>
    </row>
    <row r="20">
      <c r="A20" s="20" t="n"/>
      <c r="B20" s="20" t="n"/>
      <c r="C20" s="30" t="n"/>
      <c r="D20" s="30" t="n"/>
      <c r="E20" s="21">
        <f>IF(OR(C20="",D20=""),"",D20-C20+1)</f>
        <v/>
      </c>
      <c r="F20" s="20" t="n"/>
      <c r="G20" s="20" t="n"/>
      <c r="H20" s="21">
        <f>IF(A20="","",IF(IF(A20="","",IF(OR(C20="",D20=""),"🟡 Falta data. ",IF(D20&lt;C20,"🔴 Fim antes do início. ","")&amp;IF(OR(AND($B$3&lt;&gt;"",C20&lt;$B$3),AND($B$4&lt;&gt;"",D20&gt;$B$4)),"🔴 Fora do período do projeto. ",""))&amp;IF(B20="","🟡 Informe a etapa. ",IF(COUNTIF('ORÇAMENTO'!$A$8:$A$207,B20)=0,"🟡 Etapa sem despesa no orçamento: quem paga? ",""))&amp;IF(F20="","🟡 Sem responsável. ",""))="","🟢 OK",IF(A20="","",IF(OR(C20="",D20=""),"🟡 Falta data. ",IF(D20&lt;C20,"🔴 Fim antes do início. ","")&amp;IF(OR(AND($B$3&lt;&gt;"",C20&lt;$B$3),AND($B$4&lt;&gt;"",D20&gt;$B$4)),"🔴 Fora do período do projeto. ",""))&amp;IF(B20="","🟡 Informe a etapa. ",IF(COUNTIF('ORÇAMENTO'!$A$8:$A$207,B20)=0,"🟡 Etapa sem despesa no orçamento: quem paga? ",""))&amp;IF(F20="","🟡 Sem responsável. ",""))))</f>
        <v/>
      </c>
      <c r="I20" s="31">
        <f>IF(OR($C20="",$D20="",I$7=""),"",IF(AND($C20&lt;=EOMONTH(I$7,0),$D20&gt;=I$7),"■",""))</f>
        <v/>
      </c>
      <c r="J20" s="31">
        <f>IF(OR($C20="",$D20="",J$7=""),"",IF(AND($C20&lt;=EOMONTH(J$7,0),$D20&gt;=J$7),"■",""))</f>
        <v/>
      </c>
      <c r="K20" s="31">
        <f>IF(OR($C20="",$D20="",K$7=""),"",IF(AND($C20&lt;=EOMONTH(K$7,0),$D20&gt;=K$7),"■",""))</f>
        <v/>
      </c>
      <c r="L20" s="31">
        <f>IF(OR($C20="",$D20="",L$7=""),"",IF(AND($C20&lt;=EOMONTH(L$7,0),$D20&gt;=L$7),"■",""))</f>
        <v/>
      </c>
      <c r="M20" s="31">
        <f>IF(OR($C20="",$D20="",M$7=""),"",IF(AND($C20&lt;=EOMONTH(M$7,0),$D20&gt;=M$7),"■",""))</f>
        <v/>
      </c>
      <c r="N20" s="31">
        <f>IF(OR($C20="",$D20="",N$7=""),"",IF(AND($C20&lt;=EOMONTH(N$7,0),$D20&gt;=N$7),"■",""))</f>
        <v/>
      </c>
      <c r="O20" s="31">
        <f>IF(OR($C20="",$D20="",O$7=""),"",IF(AND($C20&lt;=EOMONTH(O$7,0),$D20&gt;=O$7),"■",""))</f>
        <v/>
      </c>
      <c r="P20" s="31">
        <f>IF(OR($C20="",$D20="",P$7=""),"",IF(AND($C20&lt;=EOMONTH(P$7,0),$D20&gt;=P$7),"■",""))</f>
        <v/>
      </c>
      <c r="Q20" s="31">
        <f>IF(OR($C20="",$D20="",Q$7=""),"",IF(AND($C20&lt;=EOMONTH(Q$7,0),$D20&gt;=Q$7),"■",""))</f>
        <v/>
      </c>
      <c r="R20" s="31">
        <f>IF(OR($C20="",$D20="",R$7=""),"",IF(AND($C20&lt;=EOMONTH(R$7,0),$D20&gt;=R$7),"■",""))</f>
        <v/>
      </c>
      <c r="S20" s="31">
        <f>IF(OR($C20="",$D20="",S$7=""),"",IF(AND($C20&lt;=EOMONTH(S$7,0),$D20&gt;=S$7),"■",""))</f>
        <v/>
      </c>
      <c r="T20" s="31">
        <f>IF(OR($C20="",$D20="",T$7=""),"",IF(AND($C20&lt;=EOMONTH(T$7,0),$D20&gt;=T$7),"■",""))</f>
        <v/>
      </c>
      <c r="U20" s="31">
        <f>IF(OR($C20="",$D20="",U$7=""),"",IF(AND($C20&lt;=EOMONTH(U$7,0),$D20&gt;=U$7),"■",""))</f>
        <v/>
      </c>
      <c r="V20" s="31">
        <f>IF(OR($C20="",$D20="",V$7=""),"",IF(AND($C20&lt;=EOMONTH(V$7,0),$D20&gt;=V$7),"■",""))</f>
        <v/>
      </c>
      <c r="W20" s="31">
        <f>IF(OR($C20="",$D20="",W$7=""),"",IF(AND($C20&lt;=EOMONTH(W$7,0),$D20&gt;=W$7),"■",""))</f>
        <v/>
      </c>
      <c r="X20" s="31">
        <f>IF(OR($C20="",$D20="",X$7=""),"",IF(AND($C20&lt;=EOMONTH(X$7,0),$D20&gt;=X$7),"■",""))</f>
        <v/>
      </c>
      <c r="Y20" s="31">
        <f>IF(OR($C20="",$D20="",Y$7=""),"",IF(AND($C20&lt;=EOMONTH(Y$7,0),$D20&gt;=Y$7),"■",""))</f>
        <v/>
      </c>
      <c r="Z20" s="31">
        <f>IF(OR($C20="",$D20="",Z$7=""),"",IF(AND($C20&lt;=EOMONTH(Z$7,0),$D20&gt;=Z$7),"■",""))</f>
        <v/>
      </c>
    </row>
    <row r="21">
      <c r="A21" s="20" t="n"/>
      <c r="B21" s="20" t="n"/>
      <c r="C21" s="30" t="n"/>
      <c r="D21" s="30" t="n"/>
      <c r="E21" s="21">
        <f>IF(OR(C21="",D21=""),"",D21-C21+1)</f>
        <v/>
      </c>
      <c r="F21" s="20" t="n"/>
      <c r="G21" s="20" t="n"/>
      <c r="H21" s="21">
        <f>IF(A21="","",IF(IF(A21="","",IF(OR(C21="",D21=""),"🟡 Falta data. ",IF(D21&lt;C21,"🔴 Fim antes do início. ","")&amp;IF(OR(AND($B$3&lt;&gt;"",C21&lt;$B$3),AND($B$4&lt;&gt;"",D21&gt;$B$4)),"🔴 Fora do período do projeto. ",""))&amp;IF(B21="","🟡 Informe a etapa. ",IF(COUNTIF('ORÇAMENTO'!$A$8:$A$207,B21)=0,"🟡 Etapa sem despesa no orçamento: quem paga? ",""))&amp;IF(F21="","🟡 Sem responsável. ",""))="","🟢 OK",IF(A21="","",IF(OR(C21="",D21=""),"🟡 Falta data. ",IF(D21&lt;C21,"🔴 Fim antes do início. ","")&amp;IF(OR(AND($B$3&lt;&gt;"",C21&lt;$B$3),AND($B$4&lt;&gt;"",D21&gt;$B$4)),"🔴 Fora do período do projeto. ",""))&amp;IF(B21="","🟡 Informe a etapa. ",IF(COUNTIF('ORÇAMENTO'!$A$8:$A$207,B21)=0,"🟡 Etapa sem despesa no orçamento: quem paga? ",""))&amp;IF(F21="","🟡 Sem responsável. ",""))))</f>
        <v/>
      </c>
      <c r="I21" s="31">
        <f>IF(OR($C21="",$D21="",I$7=""),"",IF(AND($C21&lt;=EOMONTH(I$7,0),$D21&gt;=I$7),"■",""))</f>
        <v/>
      </c>
      <c r="J21" s="31">
        <f>IF(OR($C21="",$D21="",J$7=""),"",IF(AND($C21&lt;=EOMONTH(J$7,0),$D21&gt;=J$7),"■",""))</f>
        <v/>
      </c>
      <c r="K21" s="31">
        <f>IF(OR($C21="",$D21="",K$7=""),"",IF(AND($C21&lt;=EOMONTH(K$7,0),$D21&gt;=K$7),"■",""))</f>
        <v/>
      </c>
      <c r="L21" s="31">
        <f>IF(OR($C21="",$D21="",L$7=""),"",IF(AND($C21&lt;=EOMONTH(L$7,0),$D21&gt;=L$7),"■",""))</f>
        <v/>
      </c>
      <c r="M21" s="31">
        <f>IF(OR($C21="",$D21="",M$7=""),"",IF(AND($C21&lt;=EOMONTH(M$7,0),$D21&gt;=M$7),"■",""))</f>
        <v/>
      </c>
      <c r="N21" s="31">
        <f>IF(OR($C21="",$D21="",N$7=""),"",IF(AND($C21&lt;=EOMONTH(N$7,0),$D21&gt;=N$7),"■",""))</f>
        <v/>
      </c>
      <c r="O21" s="31">
        <f>IF(OR($C21="",$D21="",O$7=""),"",IF(AND($C21&lt;=EOMONTH(O$7,0),$D21&gt;=O$7),"■",""))</f>
        <v/>
      </c>
      <c r="P21" s="31">
        <f>IF(OR($C21="",$D21="",P$7=""),"",IF(AND($C21&lt;=EOMONTH(P$7,0),$D21&gt;=P$7),"■",""))</f>
        <v/>
      </c>
      <c r="Q21" s="31">
        <f>IF(OR($C21="",$D21="",Q$7=""),"",IF(AND($C21&lt;=EOMONTH(Q$7,0),$D21&gt;=Q$7),"■",""))</f>
        <v/>
      </c>
      <c r="R21" s="31">
        <f>IF(OR($C21="",$D21="",R$7=""),"",IF(AND($C21&lt;=EOMONTH(R$7,0),$D21&gt;=R$7),"■",""))</f>
        <v/>
      </c>
      <c r="S21" s="31">
        <f>IF(OR($C21="",$D21="",S$7=""),"",IF(AND($C21&lt;=EOMONTH(S$7,0),$D21&gt;=S$7),"■",""))</f>
        <v/>
      </c>
      <c r="T21" s="31">
        <f>IF(OR($C21="",$D21="",T$7=""),"",IF(AND($C21&lt;=EOMONTH(T$7,0),$D21&gt;=T$7),"■",""))</f>
        <v/>
      </c>
      <c r="U21" s="31">
        <f>IF(OR($C21="",$D21="",U$7=""),"",IF(AND($C21&lt;=EOMONTH(U$7,0),$D21&gt;=U$7),"■",""))</f>
        <v/>
      </c>
      <c r="V21" s="31">
        <f>IF(OR($C21="",$D21="",V$7=""),"",IF(AND($C21&lt;=EOMONTH(V$7,0),$D21&gt;=V$7),"■",""))</f>
        <v/>
      </c>
      <c r="W21" s="31">
        <f>IF(OR($C21="",$D21="",W$7=""),"",IF(AND($C21&lt;=EOMONTH(W$7,0),$D21&gt;=W$7),"■",""))</f>
        <v/>
      </c>
      <c r="X21" s="31">
        <f>IF(OR($C21="",$D21="",X$7=""),"",IF(AND($C21&lt;=EOMONTH(X$7,0),$D21&gt;=X$7),"■",""))</f>
        <v/>
      </c>
      <c r="Y21" s="31">
        <f>IF(OR($C21="",$D21="",Y$7=""),"",IF(AND($C21&lt;=EOMONTH(Y$7,0),$D21&gt;=Y$7),"■",""))</f>
        <v/>
      </c>
      <c r="Z21" s="31">
        <f>IF(OR($C21="",$D21="",Z$7=""),"",IF(AND($C21&lt;=EOMONTH(Z$7,0),$D21&gt;=Z$7),"■",""))</f>
        <v/>
      </c>
    </row>
    <row r="22">
      <c r="A22" s="20" t="n"/>
      <c r="B22" s="20" t="n"/>
      <c r="C22" s="30" t="n"/>
      <c r="D22" s="30" t="n"/>
      <c r="E22" s="21">
        <f>IF(OR(C22="",D22=""),"",D22-C22+1)</f>
        <v/>
      </c>
      <c r="F22" s="20" t="n"/>
      <c r="G22" s="20" t="n"/>
      <c r="H22" s="21">
        <f>IF(A22="","",IF(IF(A22="","",IF(OR(C22="",D22=""),"🟡 Falta data. ",IF(D22&lt;C22,"🔴 Fim antes do início. ","")&amp;IF(OR(AND($B$3&lt;&gt;"",C22&lt;$B$3),AND($B$4&lt;&gt;"",D22&gt;$B$4)),"🔴 Fora do período do projeto. ",""))&amp;IF(B22="","🟡 Informe a etapa. ",IF(COUNTIF('ORÇAMENTO'!$A$8:$A$207,B22)=0,"🟡 Etapa sem despesa no orçamento: quem paga? ",""))&amp;IF(F22="","🟡 Sem responsável. ",""))="","🟢 OK",IF(A22="","",IF(OR(C22="",D22=""),"🟡 Falta data. ",IF(D22&lt;C22,"🔴 Fim antes do início. ","")&amp;IF(OR(AND($B$3&lt;&gt;"",C22&lt;$B$3),AND($B$4&lt;&gt;"",D22&gt;$B$4)),"🔴 Fora do período do projeto. ",""))&amp;IF(B22="","🟡 Informe a etapa. ",IF(COUNTIF('ORÇAMENTO'!$A$8:$A$207,B22)=0,"🟡 Etapa sem despesa no orçamento: quem paga? ",""))&amp;IF(F22="","🟡 Sem responsável. ",""))))</f>
        <v/>
      </c>
      <c r="I22" s="31">
        <f>IF(OR($C22="",$D22="",I$7=""),"",IF(AND($C22&lt;=EOMONTH(I$7,0),$D22&gt;=I$7),"■",""))</f>
        <v/>
      </c>
      <c r="J22" s="31">
        <f>IF(OR($C22="",$D22="",J$7=""),"",IF(AND($C22&lt;=EOMONTH(J$7,0),$D22&gt;=J$7),"■",""))</f>
        <v/>
      </c>
      <c r="K22" s="31">
        <f>IF(OR($C22="",$D22="",K$7=""),"",IF(AND($C22&lt;=EOMONTH(K$7,0),$D22&gt;=K$7),"■",""))</f>
        <v/>
      </c>
      <c r="L22" s="31">
        <f>IF(OR($C22="",$D22="",L$7=""),"",IF(AND($C22&lt;=EOMONTH(L$7,0),$D22&gt;=L$7),"■",""))</f>
        <v/>
      </c>
      <c r="M22" s="31">
        <f>IF(OR($C22="",$D22="",M$7=""),"",IF(AND($C22&lt;=EOMONTH(M$7,0),$D22&gt;=M$7),"■",""))</f>
        <v/>
      </c>
      <c r="N22" s="31">
        <f>IF(OR($C22="",$D22="",N$7=""),"",IF(AND($C22&lt;=EOMONTH(N$7,0),$D22&gt;=N$7),"■",""))</f>
        <v/>
      </c>
      <c r="O22" s="31">
        <f>IF(OR($C22="",$D22="",O$7=""),"",IF(AND($C22&lt;=EOMONTH(O$7,0),$D22&gt;=O$7),"■",""))</f>
        <v/>
      </c>
      <c r="P22" s="31">
        <f>IF(OR($C22="",$D22="",P$7=""),"",IF(AND($C22&lt;=EOMONTH(P$7,0),$D22&gt;=P$7),"■",""))</f>
        <v/>
      </c>
      <c r="Q22" s="31">
        <f>IF(OR($C22="",$D22="",Q$7=""),"",IF(AND($C22&lt;=EOMONTH(Q$7,0),$D22&gt;=Q$7),"■",""))</f>
        <v/>
      </c>
      <c r="R22" s="31">
        <f>IF(OR($C22="",$D22="",R$7=""),"",IF(AND($C22&lt;=EOMONTH(R$7,0),$D22&gt;=R$7),"■",""))</f>
        <v/>
      </c>
      <c r="S22" s="31">
        <f>IF(OR($C22="",$D22="",S$7=""),"",IF(AND($C22&lt;=EOMONTH(S$7,0),$D22&gt;=S$7),"■",""))</f>
        <v/>
      </c>
      <c r="T22" s="31">
        <f>IF(OR($C22="",$D22="",T$7=""),"",IF(AND($C22&lt;=EOMONTH(T$7,0),$D22&gt;=T$7),"■",""))</f>
        <v/>
      </c>
      <c r="U22" s="31">
        <f>IF(OR($C22="",$D22="",U$7=""),"",IF(AND($C22&lt;=EOMONTH(U$7,0),$D22&gt;=U$7),"■",""))</f>
        <v/>
      </c>
      <c r="V22" s="31">
        <f>IF(OR($C22="",$D22="",V$7=""),"",IF(AND($C22&lt;=EOMONTH(V$7,0),$D22&gt;=V$7),"■",""))</f>
        <v/>
      </c>
      <c r="W22" s="31">
        <f>IF(OR($C22="",$D22="",W$7=""),"",IF(AND($C22&lt;=EOMONTH(W$7,0),$D22&gt;=W$7),"■",""))</f>
        <v/>
      </c>
      <c r="X22" s="31">
        <f>IF(OR($C22="",$D22="",X$7=""),"",IF(AND($C22&lt;=EOMONTH(X$7,0),$D22&gt;=X$7),"■",""))</f>
        <v/>
      </c>
      <c r="Y22" s="31">
        <f>IF(OR($C22="",$D22="",Y$7=""),"",IF(AND($C22&lt;=EOMONTH(Y$7,0),$D22&gt;=Y$7),"■",""))</f>
        <v/>
      </c>
      <c r="Z22" s="31">
        <f>IF(OR($C22="",$D22="",Z$7=""),"",IF(AND($C22&lt;=EOMONTH(Z$7,0),$D22&gt;=Z$7),"■",""))</f>
        <v/>
      </c>
    </row>
    <row r="23">
      <c r="A23" s="20" t="n"/>
      <c r="B23" s="20" t="n"/>
      <c r="C23" s="30" t="n"/>
      <c r="D23" s="30" t="n"/>
      <c r="E23" s="21">
        <f>IF(OR(C23="",D23=""),"",D23-C23+1)</f>
        <v/>
      </c>
      <c r="F23" s="20" t="n"/>
      <c r="G23" s="20" t="n"/>
      <c r="H23" s="21">
        <f>IF(A23="","",IF(IF(A23="","",IF(OR(C23="",D23=""),"🟡 Falta data. ",IF(D23&lt;C23,"🔴 Fim antes do início. ","")&amp;IF(OR(AND($B$3&lt;&gt;"",C23&lt;$B$3),AND($B$4&lt;&gt;"",D23&gt;$B$4)),"🔴 Fora do período do projeto. ",""))&amp;IF(B23="","🟡 Informe a etapa. ",IF(COUNTIF('ORÇAMENTO'!$A$8:$A$207,B23)=0,"🟡 Etapa sem despesa no orçamento: quem paga? ",""))&amp;IF(F23="","🟡 Sem responsável. ",""))="","🟢 OK",IF(A23="","",IF(OR(C23="",D23=""),"🟡 Falta data. ",IF(D23&lt;C23,"🔴 Fim antes do início. ","")&amp;IF(OR(AND($B$3&lt;&gt;"",C23&lt;$B$3),AND($B$4&lt;&gt;"",D23&gt;$B$4)),"🔴 Fora do período do projeto. ",""))&amp;IF(B23="","🟡 Informe a etapa. ",IF(COUNTIF('ORÇAMENTO'!$A$8:$A$207,B23)=0,"🟡 Etapa sem despesa no orçamento: quem paga? ",""))&amp;IF(F23="","🟡 Sem responsável. ",""))))</f>
        <v/>
      </c>
      <c r="I23" s="31">
        <f>IF(OR($C23="",$D23="",I$7=""),"",IF(AND($C23&lt;=EOMONTH(I$7,0),$D23&gt;=I$7),"■",""))</f>
        <v/>
      </c>
      <c r="J23" s="31">
        <f>IF(OR($C23="",$D23="",J$7=""),"",IF(AND($C23&lt;=EOMONTH(J$7,0),$D23&gt;=J$7),"■",""))</f>
        <v/>
      </c>
      <c r="K23" s="31">
        <f>IF(OR($C23="",$D23="",K$7=""),"",IF(AND($C23&lt;=EOMONTH(K$7,0),$D23&gt;=K$7),"■",""))</f>
        <v/>
      </c>
      <c r="L23" s="31">
        <f>IF(OR($C23="",$D23="",L$7=""),"",IF(AND($C23&lt;=EOMONTH(L$7,0),$D23&gt;=L$7),"■",""))</f>
        <v/>
      </c>
      <c r="M23" s="31">
        <f>IF(OR($C23="",$D23="",M$7=""),"",IF(AND($C23&lt;=EOMONTH(M$7,0),$D23&gt;=M$7),"■",""))</f>
        <v/>
      </c>
      <c r="N23" s="31">
        <f>IF(OR($C23="",$D23="",N$7=""),"",IF(AND($C23&lt;=EOMONTH(N$7,0),$D23&gt;=N$7),"■",""))</f>
        <v/>
      </c>
      <c r="O23" s="31">
        <f>IF(OR($C23="",$D23="",O$7=""),"",IF(AND($C23&lt;=EOMONTH(O$7,0),$D23&gt;=O$7),"■",""))</f>
        <v/>
      </c>
      <c r="P23" s="31">
        <f>IF(OR($C23="",$D23="",P$7=""),"",IF(AND($C23&lt;=EOMONTH(P$7,0),$D23&gt;=P$7),"■",""))</f>
        <v/>
      </c>
      <c r="Q23" s="31">
        <f>IF(OR($C23="",$D23="",Q$7=""),"",IF(AND($C23&lt;=EOMONTH(Q$7,0),$D23&gt;=Q$7),"■",""))</f>
        <v/>
      </c>
      <c r="R23" s="31">
        <f>IF(OR($C23="",$D23="",R$7=""),"",IF(AND($C23&lt;=EOMONTH(R$7,0),$D23&gt;=R$7),"■",""))</f>
        <v/>
      </c>
      <c r="S23" s="31">
        <f>IF(OR($C23="",$D23="",S$7=""),"",IF(AND($C23&lt;=EOMONTH(S$7,0),$D23&gt;=S$7),"■",""))</f>
        <v/>
      </c>
      <c r="T23" s="31">
        <f>IF(OR($C23="",$D23="",T$7=""),"",IF(AND($C23&lt;=EOMONTH(T$7,0),$D23&gt;=T$7),"■",""))</f>
        <v/>
      </c>
      <c r="U23" s="31">
        <f>IF(OR($C23="",$D23="",U$7=""),"",IF(AND($C23&lt;=EOMONTH(U$7,0),$D23&gt;=U$7),"■",""))</f>
        <v/>
      </c>
      <c r="V23" s="31">
        <f>IF(OR($C23="",$D23="",V$7=""),"",IF(AND($C23&lt;=EOMONTH(V$7,0),$D23&gt;=V$7),"■",""))</f>
        <v/>
      </c>
      <c r="W23" s="31">
        <f>IF(OR($C23="",$D23="",W$7=""),"",IF(AND($C23&lt;=EOMONTH(W$7,0),$D23&gt;=W$7),"■",""))</f>
        <v/>
      </c>
      <c r="X23" s="31">
        <f>IF(OR($C23="",$D23="",X$7=""),"",IF(AND($C23&lt;=EOMONTH(X$7,0),$D23&gt;=X$7),"■",""))</f>
        <v/>
      </c>
      <c r="Y23" s="31">
        <f>IF(OR($C23="",$D23="",Y$7=""),"",IF(AND($C23&lt;=EOMONTH(Y$7,0),$D23&gt;=Y$7),"■",""))</f>
        <v/>
      </c>
      <c r="Z23" s="31">
        <f>IF(OR($C23="",$D23="",Z$7=""),"",IF(AND($C23&lt;=EOMONTH(Z$7,0),$D23&gt;=Z$7),"■",""))</f>
        <v/>
      </c>
    </row>
    <row r="24">
      <c r="A24" s="20" t="n"/>
      <c r="B24" s="20" t="n"/>
      <c r="C24" s="30" t="n"/>
      <c r="D24" s="30" t="n"/>
      <c r="E24" s="21">
        <f>IF(OR(C24="",D24=""),"",D24-C24+1)</f>
        <v/>
      </c>
      <c r="F24" s="20" t="n"/>
      <c r="G24" s="20" t="n"/>
      <c r="H24" s="21">
        <f>IF(A24="","",IF(IF(A24="","",IF(OR(C24="",D24=""),"🟡 Falta data. ",IF(D24&lt;C24,"🔴 Fim antes do início. ","")&amp;IF(OR(AND($B$3&lt;&gt;"",C24&lt;$B$3),AND($B$4&lt;&gt;"",D24&gt;$B$4)),"🔴 Fora do período do projeto. ",""))&amp;IF(B24="","🟡 Informe a etapa. ",IF(COUNTIF('ORÇAMENTO'!$A$8:$A$207,B24)=0,"🟡 Etapa sem despesa no orçamento: quem paga? ",""))&amp;IF(F24="","🟡 Sem responsável. ",""))="","🟢 OK",IF(A24="","",IF(OR(C24="",D24=""),"🟡 Falta data. ",IF(D24&lt;C24,"🔴 Fim antes do início. ","")&amp;IF(OR(AND($B$3&lt;&gt;"",C24&lt;$B$3),AND($B$4&lt;&gt;"",D24&gt;$B$4)),"🔴 Fora do período do projeto. ",""))&amp;IF(B24="","🟡 Informe a etapa. ",IF(COUNTIF('ORÇAMENTO'!$A$8:$A$207,B24)=0,"🟡 Etapa sem despesa no orçamento: quem paga? ",""))&amp;IF(F24="","🟡 Sem responsável. ",""))))</f>
        <v/>
      </c>
      <c r="I24" s="31">
        <f>IF(OR($C24="",$D24="",I$7=""),"",IF(AND($C24&lt;=EOMONTH(I$7,0),$D24&gt;=I$7),"■",""))</f>
        <v/>
      </c>
      <c r="J24" s="31">
        <f>IF(OR($C24="",$D24="",J$7=""),"",IF(AND($C24&lt;=EOMONTH(J$7,0),$D24&gt;=J$7),"■",""))</f>
        <v/>
      </c>
      <c r="K24" s="31">
        <f>IF(OR($C24="",$D24="",K$7=""),"",IF(AND($C24&lt;=EOMONTH(K$7,0),$D24&gt;=K$7),"■",""))</f>
        <v/>
      </c>
      <c r="L24" s="31">
        <f>IF(OR($C24="",$D24="",L$7=""),"",IF(AND($C24&lt;=EOMONTH(L$7,0),$D24&gt;=L$7),"■",""))</f>
        <v/>
      </c>
      <c r="M24" s="31">
        <f>IF(OR($C24="",$D24="",M$7=""),"",IF(AND($C24&lt;=EOMONTH(M$7,0),$D24&gt;=M$7),"■",""))</f>
        <v/>
      </c>
      <c r="N24" s="31">
        <f>IF(OR($C24="",$D24="",N$7=""),"",IF(AND($C24&lt;=EOMONTH(N$7,0),$D24&gt;=N$7),"■",""))</f>
        <v/>
      </c>
      <c r="O24" s="31">
        <f>IF(OR($C24="",$D24="",O$7=""),"",IF(AND($C24&lt;=EOMONTH(O$7,0),$D24&gt;=O$7),"■",""))</f>
        <v/>
      </c>
      <c r="P24" s="31">
        <f>IF(OR($C24="",$D24="",P$7=""),"",IF(AND($C24&lt;=EOMONTH(P$7,0),$D24&gt;=P$7),"■",""))</f>
        <v/>
      </c>
      <c r="Q24" s="31">
        <f>IF(OR($C24="",$D24="",Q$7=""),"",IF(AND($C24&lt;=EOMONTH(Q$7,0),$D24&gt;=Q$7),"■",""))</f>
        <v/>
      </c>
      <c r="R24" s="31">
        <f>IF(OR($C24="",$D24="",R$7=""),"",IF(AND($C24&lt;=EOMONTH(R$7,0),$D24&gt;=R$7),"■",""))</f>
        <v/>
      </c>
      <c r="S24" s="31">
        <f>IF(OR($C24="",$D24="",S$7=""),"",IF(AND($C24&lt;=EOMONTH(S$7,0),$D24&gt;=S$7),"■",""))</f>
        <v/>
      </c>
      <c r="T24" s="31">
        <f>IF(OR($C24="",$D24="",T$7=""),"",IF(AND($C24&lt;=EOMONTH(T$7,0),$D24&gt;=T$7),"■",""))</f>
        <v/>
      </c>
      <c r="U24" s="31">
        <f>IF(OR($C24="",$D24="",U$7=""),"",IF(AND($C24&lt;=EOMONTH(U$7,0),$D24&gt;=U$7),"■",""))</f>
        <v/>
      </c>
      <c r="V24" s="31">
        <f>IF(OR($C24="",$D24="",V$7=""),"",IF(AND($C24&lt;=EOMONTH(V$7,0),$D24&gt;=V$7),"■",""))</f>
        <v/>
      </c>
      <c r="W24" s="31">
        <f>IF(OR($C24="",$D24="",W$7=""),"",IF(AND($C24&lt;=EOMONTH(W$7,0),$D24&gt;=W$7),"■",""))</f>
        <v/>
      </c>
      <c r="X24" s="31">
        <f>IF(OR($C24="",$D24="",X$7=""),"",IF(AND($C24&lt;=EOMONTH(X$7,0),$D24&gt;=X$7),"■",""))</f>
        <v/>
      </c>
      <c r="Y24" s="31">
        <f>IF(OR($C24="",$D24="",Y$7=""),"",IF(AND($C24&lt;=EOMONTH(Y$7,0),$D24&gt;=Y$7),"■",""))</f>
        <v/>
      </c>
      <c r="Z24" s="31">
        <f>IF(OR($C24="",$D24="",Z$7=""),"",IF(AND($C24&lt;=EOMONTH(Z$7,0),$D24&gt;=Z$7),"■",""))</f>
        <v/>
      </c>
    </row>
    <row r="25">
      <c r="A25" s="20" t="n"/>
      <c r="B25" s="20" t="n"/>
      <c r="C25" s="30" t="n"/>
      <c r="D25" s="30" t="n"/>
      <c r="E25" s="21">
        <f>IF(OR(C25="",D25=""),"",D25-C25+1)</f>
        <v/>
      </c>
      <c r="F25" s="20" t="n"/>
      <c r="G25" s="20" t="n"/>
      <c r="H25" s="21">
        <f>IF(A25="","",IF(IF(A25="","",IF(OR(C25="",D25=""),"🟡 Falta data. ",IF(D25&lt;C25,"🔴 Fim antes do início. ","")&amp;IF(OR(AND($B$3&lt;&gt;"",C25&lt;$B$3),AND($B$4&lt;&gt;"",D25&gt;$B$4)),"🔴 Fora do período do projeto. ",""))&amp;IF(B25="","🟡 Informe a etapa. ",IF(COUNTIF('ORÇAMENTO'!$A$8:$A$207,B25)=0,"🟡 Etapa sem despesa no orçamento: quem paga? ",""))&amp;IF(F25="","🟡 Sem responsável. ",""))="","🟢 OK",IF(A25="","",IF(OR(C25="",D25=""),"🟡 Falta data. ",IF(D25&lt;C25,"🔴 Fim antes do início. ","")&amp;IF(OR(AND($B$3&lt;&gt;"",C25&lt;$B$3),AND($B$4&lt;&gt;"",D25&gt;$B$4)),"🔴 Fora do período do projeto. ",""))&amp;IF(B25="","🟡 Informe a etapa. ",IF(COUNTIF('ORÇAMENTO'!$A$8:$A$207,B25)=0,"🟡 Etapa sem despesa no orçamento: quem paga? ",""))&amp;IF(F25="","🟡 Sem responsável. ",""))))</f>
        <v/>
      </c>
      <c r="I25" s="31">
        <f>IF(OR($C25="",$D25="",I$7=""),"",IF(AND($C25&lt;=EOMONTH(I$7,0),$D25&gt;=I$7),"■",""))</f>
        <v/>
      </c>
      <c r="J25" s="31">
        <f>IF(OR($C25="",$D25="",J$7=""),"",IF(AND($C25&lt;=EOMONTH(J$7,0),$D25&gt;=J$7),"■",""))</f>
        <v/>
      </c>
      <c r="K25" s="31">
        <f>IF(OR($C25="",$D25="",K$7=""),"",IF(AND($C25&lt;=EOMONTH(K$7,0),$D25&gt;=K$7),"■",""))</f>
        <v/>
      </c>
      <c r="L25" s="31">
        <f>IF(OR($C25="",$D25="",L$7=""),"",IF(AND($C25&lt;=EOMONTH(L$7,0),$D25&gt;=L$7),"■",""))</f>
        <v/>
      </c>
      <c r="M25" s="31">
        <f>IF(OR($C25="",$D25="",M$7=""),"",IF(AND($C25&lt;=EOMONTH(M$7,0),$D25&gt;=M$7),"■",""))</f>
        <v/>
      </c>
      <c r="N25" s="31">
        <f>IF(OR($C25="",$D25="",N$7=""),"",IF(AND($C25&lt;=EOMONTH(N$7,0),$D25&gt;=N$7),"■",""))</f>
        <v/>
      </c>
      <c r="O25" s="31">
        <f>IF(OR($C25="",$D25="",O$7=""),"",IF(AND($C25&lt;=EOMONTH(O$7,0),$D25&gt;=O$7),"■",""))</f>
        <v/>
      </c>
      <c r="P25" s="31">
        <f>IF(OR($C25="",$D25="",P$7=""),"",IF(AND($C25&lt;=EOMONTH(P$7,0),$D25&gt;=P$7),"■",""))</f>
        <v/>
      </c>
      <c r="Q25" s="31">
        <f>IF(OR($C25="",$D25="",Q$7=""),"",IF(AND($C25&lt;=EOMONTH(Q$7,0),$D25&gt;=Q$7),"■",""))</f>
        <v/>
      </c>
      <c r="R25" s="31">
        <f>IF(OR($C25="",$D25="",R$7=""),"",IF(AND($C25&lt;=EOMONTH(R$7,0),$D25&gt;=R$7),"■",""))</f>
        <v/>
      </c>
      <c r="S25" s="31">
        <f>IF(OR($C25="",$D25="",S$7=""),"",IF(AND($C25&lt;=EOMONTH(S$7,0),$D25&gt;=S$7),"■",""))</f>
        <v/>
      </c>
      <c r="T25" s="31">
        <f>IF(OR($C25="",$D25="",T$7=""),"",IF(AND($C25&lt;=EOMONTH(T$7,0),$D25&gt;=T$7),"■",""))</f>
        <v/>
      </c>
      <c r="U25" s="31">
        <f>IF(OR($C25="",$D25="",U$7=""),"",IF(AND($C25&lt;=EOMONTH(U$7,0),$D25&gt;=U$7),"■",""))</f>
        <v/>
      </c>
      <c r="V25" s="31">
        <f>IF(OR($C25="",$D25="",V$7=""),"",IF(AND($C25&lt;=EOMONTH(V$7,0),$D25&gt;=V$7),"■",""))</f>
        <v/>
      </c>
      <c r="W25" s="31">
        <f>IF(OR($C25="",$D25="",W$7=""),"",IF(AND($C25&lt;=EOMONTH(W$7,0),$D25&gt;=W$7),"■",""))</f>
        <v/>
      </c>
      <c r="X25" s="31">
        <f>IF(OR($C25="",$D25="",X$7=""),"",IF(AND($C25&lt;=EOMONTH(X$7,0),$D25&gt;=X$7),"■",""))</f>
        <v/>
      </c>
      <c r="Y25" s="31">
        <f>IF(OR($C25="",$D25="",Y$7=""),"",IF(AND($C25&lt;=EOMONTH(Y$7,0),$D25&gt;=Y$7),"■",""))</f>
        <v/>
      </c>
      <c r="Z25" s="31">
        <f>IF(OR($C25="",$D25="",Z$7=""),"",IF(AND($C25&lt;=EOMONTH(Z$7,0),$D25&gt;=Z$7),"■",""))</f>
        <v/>
      </c>
    </row>
    <row r="26">
      <c r="A26" s="20" t="n"/>
      <c r="B26" s="20" t="n"/>
      <c r="C26" s="30" t="n"/>
      <c r="D26" s="30" t="n"/>
      <c r="E26" s="21">
        <f>IF(OR(C26="",D26=""),"",D26-C26+1)</f>
        <v/>
      </c>
      <c r="F26" s="20" t="n"/>
      <c r="G26" s="20" t="n"/>
      <c r="H26" s="21">
        <f>IF(A26="","",IF(IF(A26="","",IF(OR(C26="",D26=""),"🟡 Falta data. ",IF(D26&lt;C26,"🔴 Fim antes do início. ","")&amp;IF(OR(AND($B$3&lt;&gt;"",C26&lt;$B$3),AND($B$4&lt;&gt;"",D26&gt;$B$4)),"🔴 Fora do período do projeto. ",""))&amp;IF(B26="","🟡 Informe a etapa. ",IF(COUNTIF('ORÇAMENTO'!$A$8:$A$207,B26)=0,"🟡 Etapa sem despesa no orçamento: quem paga? ",""))&amp;IF(F26="","🟡 Sem responsável. ",""))="","🟢 OK",IF(A26="","",IF(OR(C26="",D26=""),"🟡 Falta data. ",IF(D26&lt;C26,"🔴 Fim antes do início. ","")&amp;IF(OR(AND($B$3&lt;&gt;"",C26&lt;$B$3),AND($B$4&lt;&gt;"",D26&gt;$B$4)),"🔴 Fora do período do projeto. ",""))&amp;IF(B26="","🟡 Informe a etapa. ",IF(COUNTIF('ORÇAMENTO'!$A$8:$A$207,B26)=0,"🟡 Etapa sem despesa no orçamento: quem paga? ",""))&amp;IF(F26="","🟡 Sem responsável. ",""))))</f>
        <v/>
      </c>
      <c r="I26" s="31">
        <f>IF(OR($C26="",$D26="",I$7=""),"",IF(AND($C26&lt;=EOMONTH(I$7,0),$D26&gt;=I$7),"■",""))</f>
        <v/>
      </c>
      <c r="J26" s="31">
        <f>IF(OR($C26="",$D26="",J$7=""),"",IF(AND($C26&lt;=EOMONTH(J$7,0),$D26&gt;=J$7),"■",""))</f>
        <v/>
      </c>
      <c r="K26" s="31">
        <f>IF(OR($C26="",$D26="",K$7=""),"",IF(AND($C26&lt;=EOMONTH(K$7,0),$D26&gt;=K$7),"■",""))</f>
        <v/>
      </c>
      <c r="L26" s="31">
        <f>IF(OR($C26="",$D26="",L$7=""),"",IF(AND($C26&lt;=EOMONTH(L$7,0),$D26&gt;=L$7),"■",""))</f>
        <v/>
      </c>
      <c r="M26" s="31">
        <f>IF(OR($C26="",$D26="",M$7=""),"",IF(AND($C26&lt;=EOMONTH(M$7,0),$D26&gt;=M$7),"■",""))</f>
        <v/>
      </c>
      <c r="N26" s="31">
        <f>IF(OR($C26="",$D26="",N$7=""),"",IF(AND($C26&lt;=EOMONTH(N$7,0),$D26&gt;=N$7),"■",""))</f>
        <v/>
      </c>
      <c r="O26" s="31">
        <f>IF(OR($C26="",$D26="",O$7=""),"",IF(AND($C26&lt;=EOMONTH(O$7,0),$D26&gt;=O$7),"■",""))</f>
        <v/>
      </c>
      <c r="P26" s="31">
        <f>IF(OR($C26="",$D26="",P$7=""),"",IF(AND($C26&lt;=EOMONTH(P$7,0),$D26&gt;=P$7),"■",""))</f>
        <v/>
      </c>
      <c r="Q26" s="31">
        <f>IF(OR($C26="",$D26="",Q$7=""),"",IF(AND($C26&lt;=EOMONTH(Q$7,0),$D26&gt;=Q$7),"■",""))</f>
        <v/>
      </c>
      <c r="R26" s="31">
        <f>IF(OR($C26="",$D26="",R$7=""),"",IF(AND($C26&lt;=EOMONTH(R$7,0),$D26&gt;=R$7),"■",""))</f>
        <v/>
      </c>
      <c r="S26" s="31">
        <f>IF(OR($C26="",$D26="",S$7=""),"",IF(AND($C26&lt;=EOMONTH(S$7,0),$D26&gt;=S$7),"■",""))</f>
        <v/>
      </c>
      <c r="T26" s="31">
        <f>IF(OR($C26="",$D26="",T$7=""),"",IF(AND($C26&lt;=EOMONTH(T$7,0),$D26&gt;=T$7),"■",""))</f>
        <v/>
      </c>
      <c r="U26" s="31">
        <f>IF(OR($C26="",$D26="",U$7=""),"",IF(AND($C26&lt;=EOMONTH(U$7,0),$D26&gt;=U$7),"■",""))</f>
        <v/>
      </c>
      <c r="V26" s="31">
        <f>IF(OR($C26="",$D26="",V$7=""),"",IF(AND($C26&lt;=EOMONTH(V$7,0),$D26&gt;=V$7),"■",""))</f>
        <v/>
      </c>
      <c r="W26" s="31">
        <f>IF(OR($C26="",$D26="",W$7=""),"",IF(AND($C26&lt;=EOMONTH(W$7,0),$D26&gt;=W$7),"■",""))</f>
        <v/>
      </c>
      <c r="X26" s="31">
        <f>IF(OR($C26="",$D26="",X$7=""),"",IF(AND($C26&lt;=EOMONTH(X$7,0),$D26&gt;=X$7),"■",""))</f>
        <v/>
      </c>
      <c r="Y26" s="31">
        <f>IF(OR($C26="",$D26="",Y$7=""),"",IF(AND($C26&lt;=EOMONTH(Y$7,0),$D26&gt;=Y$7),"■",""))</f>
        <v/>
      </c>
      <c r="Z26" s="31">
        <f>IF(OR($C26="",$D26="",Z$7=""),"",IF(AND($C26&lt;=EOMONTH(Z$7,0),$D26&gt;=Z$7),"■",""))</f>
        <v/>
      </c>
    </row>
    <row r="27">
      <c r="A27" s="20" t="n"/>
      <c r="B27" s="20" t="n"/>
      <c r="C27" s="30" t="n"/>
      <c r="D27" s="30" t="n"/>
      <c r="E27" s="21">
        <f>IF(OR(C27="",D27=""),"",D27-C27+1)</f>
        <v/>
      </c>
      <c r="F27" s="20" t="n"/>
      <c r="G27" s="20" t="n"/>
      <c r="H27" s="21">
        <f>IF(A27="","",IF(IF(A27="","",IF(OR(C27="",D27=""),"🟡 Falta data. ",IF(D27&lt;C27,"🔴 Fim antes do início. ","")&amp;IF(OR(AND($B$3&lt;&gt;"",C27&lt;$B$3),AND($B$4&lt;&gt;"",D27&gt;$B$4)),"🔴 Fora do período do projeto. ",""))&amp;IF(B27="","🟡 Informe a etapa. ",IF(COUNTIF('ORÇAMENTO'!$A$8:$A$207,B27)=0,"🟡 Etapa sem despesa no orçamento: quem paga? ",""))&amp;IF(F27="","🟡 Sem responsável. ",""))="","🟢 OK",IF(A27="","",IF(OR(C27="",D27=""),"🟡 Falta data. ",IF(D27&lt;C27,"🔴 Fim antes do início. ","")&amp;IF(OR(AND($B$3&lt;&gt;"",C27&lt;$B$3),AND($B$4&lt;&gt;"",D27&gt;$B$4)),"🔴 Fora do período do projeto. ",""))&amp;IF(B27="","🟡 Informe a etapa. ",IF(COUNTIF('ORÇAMENTO'!$A$8:$A$207,B27)=0,"🟡 Etapa sem despesa no orçamento: quem paga? ",""))&amp;IF(F27="","🟡 Sem responsável. ",""))))</f>
        <v/>
      </c>
      <c r="I27" s="31">
        <f>IF(OR($C27="",$D27="",I$7=""),"",IF(AND($C27&lt;=EOMONTH(I$7,0),$D27&gt;=I$7),"■",""))</f>
        <v/>
      </c>
      <c r="J27" s="31">
        <f>IF(OR($C27="",$D27="",J$7=""),"",IF(AND($C27&lt;=EOMONTH(J$7,0),$D27&gt;=J$7),"■",""))</f>
        <v/>
      </c>
      <c r="K27" s="31">
        <f>IF(OR($C27="",$D27="",K$7=""),"",IF(AND($C27&lt;=EOMONTH(K$7,0),$D27&gt;=K$7),"■",""))</f>
        <v/>
      </c>
      <c r="L27" s="31">
        <f>IF(OR($C27="",$D27="",L$7=""),"",IF(AND($C27&lt;=EOMONTH(L$7,0),$D27&gt;=L$7),"■",""))</f>
        <v/>
      </c>
      <c r="M27" s="31">
        <f>IF(OR($C27="",$D27="",M$7=""),"",IF(AND($C27&lt;=EOMONTH(M$7,0),$D27&gt;=M$7),"■",""))</f>
        <v/>
      </c>
      <c r="N27" s="31">
        <f>IF(OR($C27="",$D27="",N$7=""),"",IF(AND($C27&lt;=EOMONTH(N$7,0),$D27&gt;=N$7),"■",""))</f>
        <v/>
      </c>
      <c r="O27" s="31">
        <f>IF(OR($C27="",$D27="",O$7=""),"",IF(AND($C27&lt;=EOMONTH(O$7,0),$D27&gt;=O$7),"■",""))</f>
        <v/>
      </c>
      <c r="P27" s="31">
        <f>IF(OR($C27="",$D27="",P$7=""),"",IF(AND($C27&lt;=EOMONTH(P$7,0),$D27&gt;=P$7),"■",""))</f>
        <v/>
      </c>
      <c r="Q27" s="31">
        <f>IF(OR($C27="",$D27="",Q$7=""),"",IF(AND($C27&lt;=EOMONTH(Q$7,0),$D27&gt;=Q$7),"■",""))</f>
        <v/>
      </c>
      <c r="R27" s="31">
        <f>IF(OR($C27="",$D27="",R$7=""),"",IF(AND($C27&lt;=EOMONTH(R$7,0),$D27&gt;=R$7),"■",""))</f>
        <v/>
      </c>
      <c r="S27" s="31">
        <f>IF(OR($C27="",$D27="",S$7=""),"",IF(AND($C27&lt;=EOMONTH(S$7,0),$D27&gt;=S$7),"■",""))</f>
        <v/>
      </c>
      <c r="T27" s="31">
        <f>IF(OR($C27="",$D27="",T$7=""),"",IF(AND($C27&lt;=EOMONTH(T$7,0),$D27&gt;=T$7),"■",""))</f>
        <v/>
      </c>
      <c r="U27" s="31">
        <f>IF(OR($C27="",$D27="",U$7=""),"",IF(AND($C27&lt;=EOMONTH(U$7,0),$D27&gt;=U$7),"■",""))</f>
        <v/>
      </c>
      <c r="V27" s="31">
        <f>IF(OR($C27="",$D27="",V$7=""),"",IF(AND($C27&lt;=EOMONTH(V$7,0),$D27&gt;=V$7),"■",""))</f>
        <v/>
      </c>
      <c r="W27" s="31">
        <f>IF(OR($C27="",$D27="",W$7=""),"",IF(AND($C27&lt;=EOMONTH(W$7,0),$D27&gt;=W$7),"■",""))</f>
        <v/>
      </c>
      <c r="X27" s="31">
        <f>IF(OR($C27="",$D27="",X$7=""),"",IF(AND($C27&lt;=EOMONTH(X$7,0),$D27&gt;=X$7),"■",""))</f>
        <v/>
      </c>
      <c r="Y27" s="31">
        <f>IF(OR($C27="",$D27="",Y$7=""),"",IF(AND($C27&lt;=EOMONTH(Y$7,0),$D27&gt;=Y$7),"■",""))</f>
        <v/>
      </c>
      <c r="Z27" s="31">
        <f>IF(OR($C27="",$D27="",Z$7=""),"",IF(AND($C27&lt;=EOMONTH(Z$7,0),$D27&gt;=Z$7),"■",""))</f>
        <v/>
      </c>
    </row>
    <row r="28">
      <c r="A28" s="20" t="n"/>
      <c r="B28" s="20" t="n"/>
      <c r="C28" s="30" t="n"/>
      <c r="D28" s="30" t="n"/>
      <c r="E28" s="21">
        <f>IF(OR(C28="",D28=""),"",D28-C28+1)</f>
        <v/>
      </c>
      <c r="F28" s="20" t="n"/>
      <c r="G28" s="20" t="n"/>
      <c r="H28" s="21">
        <f>IF(A28="","",IF(IF(A28="","",IF(OR(C28="",D28=""),"🟡 Falta data. ",IF(D28&lt;C28,"🔴 Fim antes do início. ","")&amp;IF(OR(AND($B$3&lt;&gt;"",C28&lt;$B$3),AND($B$4&lt;&gt;"",D28&gt;$B$4)),"🔴 Fora do período do projeto. ",""))&amp;IF(B28="","🟡 Informe a etapa. ",IF(COUNTIF('ORÇAMENTO'!$A$8:$A$207,B28)=0,"🟡 Etapa sem despesa no orçamento: quem paga? ",""))&amp;IF(F28="","🟡 Sem responsável. ",""))="","🟢 OK",IF(A28="","",IF(OR(C28="",D28=""),"🟡 Falta data. ",IF(D28&lt;C28,"🔴 Fim antes do início. ","")&amp;IF(OR(AND($B$3&lt;&gt;"",C28&lt;$B$3),AND($B$4&lt;&gt;"",D28&gt;$B$4)),"🔴 Fora do período do projeto. ",""))&amp;IF(B28="","🟡 Informe a etapa. ",IF(COUNTIF('ORÇAMENTO'!$A$8:$A$207,B28)=0,"🟡 Etapa sem despesa no orçamento: quem paga? ",""))&amp;IF(F28="","🟡 Sem responsável. ",""))))</f>
        <v/>
      </c>
      <c r="I28" s="31">
        <f>IF(OR($C28="",$D28="",I$7=""),"",IF(AND($C28&lt;=EOMONTH(I$7,0),$D28&gt;=I$7),"■",""))</f>
        <v/>
      </c>
      <c r="J28" s="31">
        <f>IF(OR($C28="",$D28="",J$7=""),"",IF(AND($C28&lt;=EOMONTH(J$7,0),$D28&gt;=J$7),"■",""))</f>
        <v/>
      </c>
      <c r="K28" s="31">
        <f>IF(OR($C28="",$D28="",K$7=""),"",IF(AND($C28&lt;=EOMONTH(K$7,0),$D28&gt;=K$7),"■",""))</f>
        <v/>
      </c>
      <c r="L28" s="31">
        <f>IF(OR($C28="",$D28="",L$7=""),"",IF(AND($C28&lt;=EOMONTH(L$7,0),$D28&gt;=L$7),"■",""))</f>
        <v/>
      </c>
      <c r="M28" s="31">
        <f>IF(OR($C28="",$D28="",M$7=""),"",IF(AND($C28&lt;=EOMONTH(M$7,0),$D28&gt;=M$7),"■",""))</f>
        <v/>
      </c>
      <c r="N28" s="31">
        <f>IF(OR($C28="",$D28="",N$7=""),"",IF(AND($C28&lt;=EOMONTH(N$7,0),$D28&gt;=N$7),"■",""))</f>
        <v/>
      </c>
      <c r="O28" s="31">
        <f>IF(OR($C28="",$D28="",O$7=""),"",IF(AND($C28&lt;=EOMONTH(O$7,0),$D28&gt;=O$7),"■",""))</f>
        <v/>
      </c>
      <c r="P28" s="31">
        <f>IF(OR($C28="",$D28="",P$7=""),"",IF(AND($C28&lt;=EOMONTH(P$7,0),$D28&gt;=P$7),"■",""))</f>
        <v/>
      </c>
      <c r="Q28" s="31">
        <f>IF(OR($C28="",$D28="",Q$7=""),"",IF(AND($C28&lt;=EOMONTH(Q$7,0),$D28&gt;=Q$7),"■",""))</f>
        <v/>
      </c>
      <c r="R28" s="31">
        <f>IF(OR($C28="",$D28="",R$7=""),"",IF(AND($C28&lt;=EOMONTH(R$7,0),$D28&gt;=R$7),"■",""))</f>
        <v/>
      </c>
      <c r="S28" s="31">
        <f>IF(OR($C28="",$D28="",S$7=""),"",IF(AND($C28&lt;=EOMONTH(S$7,0),$D28&gt;=S$7),"■",""))</f>
        <v/>
      </c>
      <c r="T28" s="31">
        <f>IF(OR($C28="",$D28="",T$7=""),"",IF(AND($C28&lt;=EOMONTH(T$7,0),$D28&gt;=T$7),"■",""))</f>
        <v/>
      </c>
      <c r="U28" s="31">
        <f>IF(OR($C28="",$D28="",U$7=""),"",IF(AND($C28&lt;=EOMONTH(U$7,0),$D28&gt;=U$7),"■",""))</f>
        <v/>
      </c>
      <c r="V28" s="31">
        <f>IF(OR($C28="",$D28="",V$7=""),"",IF(AND($C28&lt;=EOMONTH(V$7,0),$D28&gt;=V$7),"■",""))</f>
        <v/>
      </c>
      <c r="W28" s="31">
        <f>IF(OR($C28="",$D28="",W$7=""),"",IF(AND($C28&lt;=EOMONTH(W$7,0),$D28&gt;=W$7),"■",""))</f>
        <v/>
      </c>
      <c r="X28" s="31">
        <f>IF(OR($C28="",$D28="",X$7=""),"",IF(AND($C28&lt;=EOMONTH(X$7,0),$D28&gt;=X$7),"■",""))</f>
        <v/>
      </c>
      <c r="Y28" s="31">
        <f>IF(OR($C28="",$D28="",Y$7=""),"",IF(AND($C28&lt;=EOMONTH(Y$7,0),$D28&gt;=Y$7),"■",""))</f>
        <v/>
      </c>
      <c r="Z28" s="31">
        <f>IF(OR($C28="",$D28="",Z$7=""),"",IF(AND($C28&lt;=EOMONTH(Z$7,0),$D28&gt;=Z$7),"■",""))</f>
        <v/>
      </c>
    </row>
    <row r="29">
      <c r="A29" s="20" t="n"/>
      <c r="B29" s="20" t="n"/>
      <c r="C29" s="30" t="n"/>
      <c r="D29" s="30" t="n"/>
      <c r="E29" s="21">
        <f>IF(OR(C29="",D29=""),"",D29-C29+1)</f>
        <v/>
      </c>
      <c r="F29" s="20" t="n"/>
      <c r="G29" s="20" t="n"/>
      <c r="H29" s="21">
        <f>IF(A29="","",IF(IF(A29="","",IF(OR(C29="",D29=""),"🟡 Falta data. ",IF(D29&lt;C29,"🔴 Fim antes do início. ","")&amp;IF(OR(AND($B$3&lt;&gt;"",C29&lt;$B$3),AND($B$4&lt;&gt;"",D29&gt;$B$4)),"🔴 Fora do período do projeto. ",""))&amp;IF(B29="","🟡 Informe a etapa. ",IF(COUNTIF('ORÇAMENTO'!$A$8:$A$207,B29)=0,"🟡 Etapa sem despesa no orçamento: quem paga? ",""))&amp;IF(F29="","🟡 Sem responsável. ",""))="","🟢 OK",IF(A29="","",IF(OR(C29="",D29=""),"🟡 Falta data. ",IF(D29&lt;C29,"🔴 Fim antes do início. ","")&amp;IF(OR(AND($B$3&lt;&gt;"",C29&lt;$B$3),AND($B$4&lt;&gt;"",D29&gt;$B$4)),"🔴 Fora do período do projeto. ",""))&amp;IF(B29="","🟡 Informe a etapa. ",IF(COUNTIF('ORÇAMENTO'!$A$8:$A$207,B29)=0,"🟡 Etapa sem despesa no orçamento: quem paga? ",""))&amp;IF(F29="","🟡 Sem responsável. ",""))))</f>
        <v/>
      </c>
      <c r="I29" s="31">
        <f>IF(OR($C29="",$D29="",I$7=""),"",IF(AND($C29&lt;=EOMONTH(I$7,0),$D29&gt;=I$7),"■",""))</f>
        <v/>
      </c>
      <c r="J29" s="31">
        <f>IF(OR($C29="",$D29="",J$7=""),"",IF(AND($C29&lt;=EOMONTH(J$7,0),$D29&gt;=J$7),"■",""))</f>
        <v/>
      </c>
      <c r="K29" s="31">
        <f>IF(OR($C29="",$D29="",K$7=""),"",IF(AND($C29&lt;=EOMONTH(K$7,0),$D29&gt;=K$7),"■",""))</f>
        <v/>
      </c>
      <c r="L29" s="31">
        <f>IF(OR($C29="",$D29="",L$7=""),"",IF(AND($C29&lt;=EOMONTH(L$7,0),$D29&gt;=L$7),"■",""))</f>
        <v/>
      </c>
      <c r="M29" s="31">
        <f>IF(OR($C29="",$D29="",M$7=""),"",IF(AND($C29&lt;=EOMONTH(M$7,0),$D29&gt;=M$7),"■",""))</f>
        <v/>
      </c>
      <c r="N29" s="31">
        <f>IF(OR($C29="",$D29="",N$7=""),"",IF(AND($C29&lt;=EOMONTH(N$7,0),$D29&gt;=N$7),"■",""))</f>
        <v/>
      </c>
      <c r="O29" s="31">
        <f>IF(OR($C29="",$D29="",O$7=""),"",IF(AND($C29&lt;=EOMONTH(O$7,0),$D29&gt;=O$7),"■",""))</f>
        <v/>
      </c>
      <c r="P29" s="31">
        <f>IF(OR($C29="",$D29="",P$7=""),"",IF(AND($C29&lt;=EOMONTH(P$7,0),$D29&gt;=P$7),"■",""))</f>
        <v/>
      </c>
      <c r="Q29" s="31">
        <f>IF(OR($C29="",$D29="",Q$7=""),"",IF(AND($C29&lt;=EOMONTH(Q$7,0),$D29&gt;=Q$7),"■",""))</f>
        <v/>
      </c>
      <c r="R29" s="31">
        <f>IF(OR($C29="",$D29="",R$7=""),"",IF(AND($C29&lt;=EOMONTH(R$7,0),$D29&gt;=R$7),"■",""))</f>
        <v/>
      </c>
      <c r="S29" s="31">
        <f>IF(OR($C29="",$D29="",S$7=""),"",IF(AND($C29&lt;=EOMONTH(S$7,0),$D29&gt;=S$7),"■",""))</f>
        <v/>
      </c>
      <c r="T29" s="31">
        <f>IF(OR($C29="",$D29="",T$7=""),"",IF(AND($C29&lt;=EOMONTH(T$7,0),$D29&gt;=T$7),"■",""))</f>
        <v/>
      </c>
      <c r="U29" s="31">
        <f>IF(OR($C29="",$D29="",U$7=""),"",IF(AND($C29&lt;=EOMONTH(U$7,0),$D29&gt;=U$7),"■",""))</f>
        <v/>
      </c>
      <c r="V29" s="31">
        <f>IF(OR($C29="",$D29="",V$7=""),"",IF(AND($C29&lt;=EOMONTH(V$7,0),$D29&gt;=V$7),"■",""))</f>
        <v/>
      </c>
      <c r="W29" s="31">
        <f>IF(OR($C29="",$D29="",W$7=""),"",IF(AND($C29&lt;=EOMONTH(W$7,0),$D29&gt;=W$7),"■",""))</f>
        <v/>
      </c>
      <c r="X29" s="31">
        <f>IF(OR($C29="",$D29="",X$7=""),"",IF(AND($C29&lt;=EOMONTH(X$7,0),$D29&gt;=X$7),"■",""))</f>
        <v/>
      </c>
      <c r="Y29" s="31">
        <f>IF(OR($C29="",$D29="",Y$7=""),"",IF(AND($C29&lt;=EOMONTH(Y$7,0),$D29&gt;=Y$7),"■",""))</f>
        <v/>
      </c>
      <c r="Z29" s="31">
        <f>IF(OR($C29="",$D29="",Z$7=""),"",IF(AND($C29&lt;=EOMONTH(Z$7,0),$D29&gt;=Z$7),"■",""))</f>
        <v/>
      </c>
    </row>
    <row r="30">
      <c r="A30" s="20" t="n"/>
      <c r="B30" s="20" t="n"/>
      <c r="C30" s="30" t="n"/>
      <c r="D30" s="30" t="n"/>
      <c r="E30" s="21">
        <f>IF(OR(C30="",D30=""),"",D30-C30+1)</f>
        <v/>
      </c>
      <c r="F30" s="20" t="n"/>
      <c r="G30" s="20" t="n"/>
      <c r="H30" s="21">
        <f>IF(A30="","",IF(IF(A30="","",IF(OR(C30="",D30=""),"🟡 Falta data. ",IF(D30&lt;C30,"🔴 Fim antes do início. ","")&amp;IF(OR(AND($B$3&lt;&gt;"",C30&lt;$B$3),AND($B$4&lt;&gt;"",D30&gt;$B$4)),"🔴 Fora do período do projeto. ",""))&amp;IF(B30="","🟡 Informe a etapa. ",IF(COUNTIF('ORÇAMENTO'!$A$8:$A$207,B30)=0,"🟡 Etapa sem despesa no orçamento: quem paga? ",""))&amp;IF(F30="","🟡 Sem responsável. ",""))="","🟢 OK",IF(A30="","",IF(OR(C30="",D30=""),"🟡 Falta data. ",IF(D30&lt;C30,"🔴 Fim antes do início. ","")&amp;IF(OR(AND($B$3&lt;&gt;"",C30&lt;$B$3),AND($B$4&lt;&gt;"",D30&gt;$B$4)),"🔴 Fora do período do projeto. ",""))&amp;IF(B30="","🟡 Informe a etapa. ",IF(COUNTIF('ORÇAMENTO'!$A$8:$A$207,B30)=0,"🟡 Etapa sem despesa no orçamento: quem paga? ",""))&amp;IF(F30="","🟡 Sem responsável. ",""))))</f>
        <v/>
      </c>
      <c r="I30" s="31">
        <f>IF(OR($C30="",$D30="",I$7=""),"",IF(AND($C30&lt;=EOMONTH(I$7,0),$D30&gt;=I$7),"■",""))</f>
        <v/>
      </c>
      <c r="J30" s="31">
        <f>IF(OR($C30="",$D30="",J$7=""),"",IF(AND($C30&lt;=EOMONTH(J$7,0),$D30&gt;=J$7),"■",""))</f>
        <v/>
      </c>
      <c r="K30" s="31">
        <f>IF(OR($C30="",$D30="",K$7=""),"",IF(AND($C30&lt;=EOMONTH(K$7,0),$D30&gt;=K$7),"■",""))</f>
        <v/>
      </c>
      <c r="L30" s="31">
        <f>IF(OR($C30="",$D30="",L$7=""),"",IF(AND($C30&lt;=EOMONTH(L$7,0),$D30&gt;=L$7),"■",""))</f>
        <v/>
      </c>
      <c r="M30" s="31">
        <f>IF(OR($C30="",$D30="",M$7=""),"",IF(AND($C30&lt;=EOMONTH(M$7,0),$D30&gt;=M$7),"■",""))</f>
        <v/>
      </c>
      <c r="N30" s="31">
        <f>IF(OR($C30="",$D30="",N$7=""),"",IF(AND($C30&lt;=EOMONTH(N$7,0),$D30&gt;=N$7),"■",""))</f>
        <v/>
      </c>
      <c r="O30" s="31">
        <f>IF(OR($C30="",$D30="",O$7=""),"",IF(AND($C30&lt;=EOMONTH(O$7,0),$D30&gt;=O$7),"■",""))</f>
        <v/>
      </c>
      <c r="P30" s="31">
        <f>IF(OR($C30="",$D30="",P$7=""),"",IF(AND($C30&lt;=EOMONTH(P$7,0),$D30&gt;=P$7),"■",""))</f>
        <v/>
      </c>
      <c r="Q30" s="31">
        <f>IF(OR($C30="",$D30="",Q$7=""),"",IF(AND($C30&lt;=EOMONTH(Q$7,0),$D30&gt;=Q$7),"■",""))</f>
        <v/>
      </c>
      <c r="R30" s="31">
        <f>IF(OR($C30="",$D30="",R$7=""),"",IF(AND($C30&lt;=EOMONTH(R$7,0),$D30&gt;=R$7),"■",""))</f>
        <v/>
      </c>
      <c r="S30" s="31">
        <f>IF(OR($C30="",$D30="",S$7=""),"",IF(AND($C30&lt;=EOMONTH(S$7,0),$D30&gt;=S$7),"■",""))</f>
        <v/>
      </c>
      <c r="T30" s="31">
        <f>IF(OR($C30="",$D30="",T$7=""),"",IF(AND($C30&lt;=EOMONTH(T$7,0),$D30&gt;=T$7),"■",""))</f>
        <v/>
      </c>
      <c r="U30" s="31">
        <f>IF(OR($C30="",$D30="",U$7=""),"",IF(AND($C30&lt;=EOMONTH(U$7,0),$D30&gt;=U$7),"■",""))</f>
        <v/>
      </c>
      <c r="V30" s="31">
        <f>IF(OR($C30="",$D30="",V$7=""),"",IF(AND($C30&lt;=EOMONTH(V$7,0),$D30&gt;=V$7),"■",""))</f>
        <v/>
      </c>
      <c r="W30" s="31">
        <f>IF(OR($C30="",$D30="",W$7=""),"",IF(AND($C30&lt;=EOMONTH(W$7,0),$D30&gt;=W$7),"■",""))</f>
        <v/>
      </c>
      <c r="X30" s="31">
        <f>IF(OR($C30="",$D30="",X$7=""),"",IF(AND($C30&lt;=EOMONTH(X$7,0),$D30&gt;=X$7),"■",""))</f>
        <v/>
      </c>
      <c r="Y30" s="31">
        <f>IF(OR($C30="",$D30="",Y$7=""),"",IF(AND($C30&lt;=EOMONTH(Y$7,0),$D30&gt;=Y$7),"■",""))</f>
        <v/>
      </c>
      <c r="Z30" s="31">
        <f>IF(OR($C30="",$D30="",Z$7=""),"",IF(AND($C30&lt;=EOMONTH(Z$7,0),$D30&gt;=Z$7),"■",""))</f>
        <v/>
      </c>
    </row>
    <row r="31">
      <c r="A31" s="20" t="n"/>
      <c r="B31" s="20" t="n"/>
      <c r="C31" s="30" t="n"/>
      <c r="D31" s="30" t="n"/>
      <c r="E31" s="21">
        <f>IF(OR(C31="",D31=""),"",D31-C31+1)</f>
        <v/>
      </c>
      <c r="F31" s="20" t="n"/>
      <c r="G31" s="20" t="n"/>
      <c r="H31" s="21">
        <f>IF(A31="","",IF(IF(A31="","",IF(OR(C31="",D31=""),"🟡 Falta data. ",IF(D31&lt;C31,"🔴 Fim antes do início. ","")&amp;IF(OR(AND($B$3&lt;&gt;"",C31&lt;$B$3),AND($B$4&lt;&gt;"",D31&gt;$B$4)),"🔴 Fora do período do projeto. ",""))&amp;IF(B31="","🟡 Informe a etapa. ",IF(COUNTIF('ORÇAMENTO'!$A$8:$A$207,B31)=0,"🟡 Etapa sem despesa no orçamento: quem paga? ",""))&amp;IF(F31="","🟡 Sem responsável. ",""))="","🟢 OK",IF(A31="","",IF(OR(C31="",D31=""),"🟡 Falta data. ",IF(D31&lt;C31,"🔴 Fim antes do início. ","")&amp;IF(OR(AND($B$3&lt;&gt;"",C31&lt;$B$3),AND($B$4&lt;&gt;"",D31&gt;$B$4)),"🔴 Fora do período do projeto. ",""))&amp;IF(B31="","🟡 Informe a etapa. ",IF(COUNTIF('ORÇAMENTO'!$A$8:$A$207,B31)=0,"🟡 Etapa sem despesa no orçamento: quem paga? ",""))&amp;IF(F31="","🟡 Sem responsável. ",""))))</f>
        <v/>
      </c>
      <c r="I31" s="31">
        <f>IF(OR($C31="",$D31="",I$7=""),"",IF(AND($C31&lt;=EOMONTH(I$7,0),$D31&gt;=I$7),"■",""))</f>
        <v/>
      </c>
      <c r="J31" s="31">
        <f>IF(OR($C31="",$D31="",J$7=""),"",IF(AND($C31&lt;=EOMONTH(J$7,0),$D31&gt;=J$7),"■",""))</f>
        <v/>
      </c>
      <c r="K31" s="31">
        <f>IF(OR($C31="",$D31="",K$7=""),"",IF(AND($C31&lt;=EOMONTH(K$7,0),$D31&gt;=K$7),"■",""))</f>
        <v/>
      </c>
      <c r="L31" s="31">
        <f>IF(OR($C31="",$D31="",L$7=""),"",IF(AND($C31&lt;=EOMONTH(L$7,0),$D31&gt;=L$7),"■",""))</f>
        <v/>
      </c>
      <c r="M31" s="31">
        <f>IF(OR($C31="",$D31="",M$7=""),"",IF(AND($C31&lt;=EOMONTH(M$7,0),$D31&gt;=M$7),"■",""))</f>
        <v/>
      </c>
      <c r="N31" s="31">
        <f>IF(OR($C31="",$D31="",N$7=""),"",IF(AND($C31&lt;=EOMONTH(N$7,0),$D31&gt;=N$7),"■",""))</f>
        <v/>
      </c>
      <c r="O31" s="31">
        <f>IF(OR($C31="",$D31="",O$7=""),"",IF(AND($C31&lt;=EOMONTH(O$7,0),$D31&gt;=O$7),"■",""))</f>
        <v/>
      </c>
      <c r="P31" s="31">
        <f>IF(OR($C31="",$D31="",P$7=""),"",IF(AND($C31&lt;=EOMONTH(P$7,0),$D31&gt;=P$7),"■",""))</f>
        <v/>
      </c>
      <c r="Q31" s="31">
        <f>IF(OR($C31="",$D31="",Q$7=""),"",IF(AND($C31&lt;=EOMONTH(Q$7,0),$D31&gt;=Q$7),"■",""))</f>
        <v/>
      </c>
      <c r="R31" s="31">
        <f>IF(OR($C31="",$D31="",R$7=""),"",IF(AND($C31&lt;=EOMONTH(R$7,0),$D31&gt;=R$7),"■",""))</f>
        <v/>
      </c>
      <c r="S31" s="31">
        <f>IF(OR($C31="",$D31="",S$7=""),"",IF(AND($C31&lt;=EOMONTH(S$7,0),$D31&gt;=S$7),"■",""))</f>
        <v/>
      </c>
      <c r="T31" s="31">
        <f>IF(OR($C31="",$D31="",T$7=""),"",IF(AND($C31&lt;=EOMONTH(T$7,0),$D31&gt;=T$7),"■",""))</f>
        <v/>
      </c>
      <c r="U31" s="31">
        <f>IF(OR($C31="",$D31="",U$7=""),"",IF(AND($C31&lt;=EOMONTH(U$7,0),$D31&gt;=U$7),"■",""))</f>
        <v/>
      </c>
      <c r="V31" s="31">
        <f>IF(OR($C31="",$D31="",V$7=""),"",IF(AND($C31&lt;=EOMONTH(V$7,0),$D31&gt;=V$7),"■",""))</f>
        <v/>
      </c>
      <c r="W31" s="31">
        <f>IF(OR($C31="",$D31="",W$7=""),"",IF(AND($C31&lt;=EOMONTH(W$7,0),$D31&gt;=W$7),"■",""))</f>
        <v/>
      </c>
      <c r="X31" s="31">
        <f>IF(OR($C31="",$D31="",X$7=""),"",IF(AND($C31&lt;=EOMONTH(X$7,0),$D31&gt;=X$7),"■",""))</f>
        <v/>
      </c>
      <c r="Y31" s="31">
        <f>IF(OR($C31="",$D31="",Y$7=""),"",IF(AND($C31&lt;=EOMONTH(Y$7,0),$D31&gt;=Y$7),"■",""))</f>
        <v/>
      </c>
      <c r="Z31" s="31">
        <f>IF(OR($C31="",$D31="",Z$7=""),"",IF(AND($C31&lt;=EOMONTH(Z$7,0),$D31&gt;=Z$7),"■",""))</f>
        <v/>
      </c>
    </row>
    <row r="32">
      <c r="A32" s="20" t="n"/>
      <c r="B32" s="20" t="n"/>
      <c r="C32" s="30" t="n"/>
      <c r="D32" s="30" t="n"/>
      <c r="E32" s="21">
        <f>IF(OR(C32="",D32=""),"",D32-C32+1)</f>
        <v/>
      </c>
      <c r="F32" s="20" t="n"/>
      <c r="G32" s="20" t="n"/>
      <c r="H32" s="21">
        <f>IF(A32="","",IF(IF(A32="","",IF(OR(C32="",D32=""),"🟡 Falta data. ",IF(D32&lt;C32,"🔴 Fim antes do início. ","")&amp;IF(OR(AND($B$3&lt;&gt;"",C32&lt;$B$3),AND($B$4&lt;&gt;"",D32&gt;$B$4)),"🔴 Fora do período do projeto. ",""))&amp;IF(B32="","🟡 Informe a etapa. ",IF(COUNTIF('ORÇAMENTO'!$A$8:$A$207,B32)=0,"🟡 Etapa sem despesa no orçamento: quem paga? ",""))&amp;IF(F32="","🟡 Sem responsável. ",""))="","🟢 OK",IF(A32="","",IF(OR(C32="",D32=""),"🟡 Falta data. ",IF(D32&lt;C32,"🔴 Fim antes do início. ","")&amp;IF(OR(AND($B$3&lt;&gt;"",C32&lt;$B$3),AND($B$4&lt;&gt;"",D32&gt;$B$4)),"🔴 Fora do período do projeto. ",""))&amp;IF(B32="","🟡 Informe a etapa. ",IF(COUNTIF('ORÇAMENTO'!$A$8:$A$207,B32)=0,"🟡 Etapa sem despesa no orçamento: quem paga? ",""))&amp;IF(F32="","🟡 Sem responsável. ",""))))</f>
        <v/>
      </c>
      <c r="I32" s="31">
        <f>IF(OR($C32="",$D32="",I$7=""),"",IF(AND($C32&lt;=EOMONTH(I$7,0),$D32&gt;=I$7),"■",""))</f>
        <v/>
      </c>
      <c r="J32" s="31">
        <f>IF(OR($C32="",$D32="",J$7=""),"",IF(AND($C32&lt;=EOMONTH(J$7,0),$D32&gt;=J$7),"■",""))</f>
        <v/>
      </c>
      <c r="K32" s="31">
        <f>IF(OR($C32="",$D32="",K$7=""),"",IF(AND($C32&lt;=EOMONTH(K$7,0),$D32&gt;=K$7),"■",""))</f>
        <v/>
      </c>
      <c r="L32" s="31">
        <f>IF(OR($C32="",$D32="",L$7=""),"",IF(AND($C32&lt;=EOMONTH(L$7,0),$D32&gt;=L$7),"■",""))</f>
        <v/>
      </c>
      <c r="M32" s="31">
        <f>IF(OR($C32="",$D32="",M$7=""),"",IF(AND($C32&lt;=EOMONTH(M$7,0),$D32&gt;=M$7),"■",""))</f>
        <v/>
      </c>
      <c r="N32" s="31">
        <f>IF(OR($C32="",$D32="",N$7=""),"",IF(AND($C32&lt;=EOMONTH(N$7,0),$D32&gt;=N$7),"■",""))</f>
        <v/>
      </c>
      <c r="O32" s="31">
        <f>IF(OR($C32="",$D32="",O$7=""),"",IF(AND($C32&lt;=EOMONTH(O$7,0),$D32&gt;=O$7),"■",""))</f>
        <v/>
      </c>
      <c r="P32" s="31">
        <f>IF(OR($C32="",$D32="",P$7=""),"",IF(AND($C32&lt;=EOMONTH(P$7,0),$D32&gt;=P$7),"■",""))</f>
        <v/>
      </c>
      <c r="Q32" s="31">
        <f>IF(OR($C32="",$D32="",Q$7=""),"",IF(AND($C32&lt;=EOMONTH(Q$7,0),$D32&gt;=Q$7),"■",""))</f>
        <v/>
      </c>
      <c r="R32" s="31">
        <f>IF(OR($C32="",$D32="",R$7=""),"",IF(AND($C32&lt;=EOMONTH(R$7,0),$D32&gt;=R$7),"■",""))</f>
        <v/>
      </c>
      <c r="S32" s="31">
        <f>IF(OR($C32="",$D32="",S$7=""),"",IF(AND($C32&lt;=EOMONTH(S$7,0),$D32&gt;=S$7),"■",""))</f>
        <v/>
      </c>
      <c r="T32" s="31">
        <f>IF(OR($C32="",$D32="",T$7=""),"",IF(AND($C32&lt;=EOMONTH(T$7,0),$D32&gt;=T$7),"■",""))</f>
        <v/>
      </c>
      <c r="U32" s="31">
        <f>IF(OR($C32="",$D32="",U$7=""),"",IF(AND($C32&lt;=EOMONTH(U$7,0),$D32&gt;=U$7),"■",""))</f>
        <v/>
      </c>
      <c r="V32" s="31">
        <f>IF(OR($C32="",$D32="",V$7=""),"",IF(AND($C32&lt;=EOMONTH(V$7,0),$D32&gt;=V$7),"■",""))</f>
        <v/>
      </c>
      <c r="W32" s="31">
        <f>IF(OR($C32="",$D32="",W$7=""),"",IF(AND($C32&lt;=EOMONTH(W$7,0),$D32&gt;=W$7),"■",""))</f>
        <v/>
      </c>
      <c r="X32" s="31">
        <f>IF(OR($C32="",$D32="",X$7=""),"",IF(AND($C32&lt;=EOMONTH(X$7,0),$D32&gt;=X$7),"■",""))</f>
        <v/>
      </c>
      <c r="Y32" s="31">
        <f>IF(OR($C32="",$D32="",Y$7=""),"",IF(AND($C32&lt;=EOMONTH(Y$7,0),$D32&gt;=Y$7),"■",""))</f>
        <v/>
      </c>
      <c r="Z32" s="31">
        <f>IF(OR($C32="",$D32="",Z$7=""),"",IF(AND($C32&lt;=EOMONTH(Z$7,0),$D32&gt;=Z$7),"■",""))</f>
        <v/>
      </c>
    </row>
    <row r="33">
      <c r="A33" s="20" t="n"/>
      <c r="B33" s="20" t="n"/>
      <c r="C33" s="30" t="n"/>
      <c r="D33" s="30" t="n"/>
      <c r="E33" s="21">
        <f>IF(OR(C33="",D33=""),"",D33-C33+1)</f>
        <v/>
      </c>
      <c r="F33" s="20" t="n"/>
      <c r="G33" s="20" t="n"/>
      <c r="H33" s="21">
        <f>IF(A33="","",IF(IF(A33="","",IF(OR(C33="",D33=""),"🟡 Falta data. ",IF(D33&lt;C33,"🔴 Fim antes do início. ","")&amp;IF(OR(AND($B$3&lt;&gt;"",C33&lt;$B$3),AND($B$4&lt;&gt;"",D33&gt;$B$4)),"🔴 Fora do período do projeto. ",""))&amp;IF(B33="","🟡 Informe a etapa. ",IF(COUNTIF('ORÇAMENTO'!$A$8:$A$207,B33)=0,"🟡 Etapa sem despesa no orçamento: quem paga? ",""))&amp;IF(F33="","🟡 Sem responsável. ",""))="","🟢 OK",IF(A33="","",IF(OR(C33="",D33=""),"🟡 Falta data. ",IF(D33&lt;C33,"🔴 Fim antes do início. ","")&amp;IF(OR(AND($B$3&lt;&gt;"",C33&lt;$B$3),AND($B$4&lt;&gt;"",D33&gt;$B$4)),"🔴 Fora do período do projeto. ",""))&amp;IF(B33="","🟡 Informe a etapa. ",IF(COUNTIF('ORÇAMENTO'!$A$8:$A$207,B33)=0,"🟡 Etapa sem despesa no orçamento: quem paga? ",""))&amp;IF(F33="","🟡 Sem responsável. ",""))))</f>
        <v/>
      </c>
      <c r="I33" s="31">
        <f>IF(OR($C33="",$D33="",I$7=""),"",IF(AND($C33&lt;=EOMONTH(I$7,0),$D33&gt;=I$7),"■",""))</f>
        <v/>
      </c>
      <c r="J33" s="31">
        <f>IF(OR($C33="",$D33="",J$7=""),"",IF(AND($C33&lt;=EOMONTH(J$7,0),$D33&gt;=J$7),"■",""))</f>
        <v/>
      </c>
      <c r="K33" s="31">
        <f>IF(OR($C33="",$D33="",K$7=""),"",IF(AND($C33&lt;=EOMONTH(K$7,0),$D33&gt;=K$7),"■",""))</f>
        <v/>
      </c>
      <c r="L33" s="31">
        <f>IF(OR($C33="",$D33="",L$7=""),"",IF(AND($C33&lt;=EOMONTH(L$7,0),$D33&gt;=L$7),"■",""))</f>
        <v/>
      </c>
      <c r="M33" s="31">
        <f>IF(OR($C33="",$D33="",M$7=""),"",IF(AND($C33&lt;=EOMONTH(M$7,0),$D33&gt;=M$7),"■",""))</f>
        <v/>
      </c>
      <c r="N33" s="31">
        <f>IF(OR($C33="",$D33="",N$7=""),"",IF(AND($C33&lt;=EOMONTH(N$7,0),$D33&gt;=N$7),"■",""))</f>
        <v/>
      </c>
      <c r="O33" s="31">
        <f>IF(OR($C33="",$D33="",O$7=""),"",IF(AND($C33&lt;=EOMONTH(O$7,0),$D33&gt;=O$7),"■",""))</f>
        <v/>
      </c>
      <c r="P33" s="31">
        <f>IF(OR($C33="",$D33="",P$7=""),"",IF(AND($C33&lt;=EOMONTH(P$7,0),$D33&gt;=P$7),"■",""))</f>
        <v/>
      </c>
      <c r="Q33" s="31">
        <f>IF(OR($C33="",$D33="",Q$7=""),"",IF(AND($C33&lt;=EOMONTH(Q$7,0),$D33&gt;=Q$7),"■",""))</f>
        <v/>
      </c>
      <c r="R33" s="31">
        <f>IF(OR($C33="",$D33="",R$7=""),"",IF(AND($C33&lt;=EOMONTH(R$7,0),$D33&gt;=R$7),"■",""))</f>
        <v/>
      </c>
      <c r="S33" s="31">
        <f>IF(OR($C33="",$D33="",S$7=""),"",IF(AND($C33&lt;=EOMONTH(S$7,0),$D33&gt;=S$7),"■",""))</f>
        <v/>
      </c>
      <c r="T33" s="31">
        <f>IF(OR($C33="",$D33="",T$7=""),"",IF(AND($C33&lt;=EOMONTH(T$7,0),$D33&gt;=T$7),"■",""))</f>
        <v/>
      </c>
      <c r="U33" s="31">
        <f>IF(OR($C33="",$D33="",U$7=""),"",IF(AND($C33&lt;=EOMONTH(U$7,0),$D33&gt;=U$7),"■",""))</f>
        <v/>
      </c>
      <c r="V33" s="31">
        <f>IF(OR($C33="",$D33="",V$7=""),"",IF(AND($C33&lt;=EOMONTH(V$7,0),$D33&gt;=V$7),"■",""))</f>
        <v/>
      </c>
      <c r="W33" s="31">
        <f>IF(OR($C33="",$D33="",W$7=""),"",IF(AND($C33&lt;=EOMONTH(W$7,0),$D33&gt;=W$7),"■",""))</f>
        <v/>
      </c>
      <c r="X33" s="31">
        <f>IF(OR($C33="",$D33="",X$7=""),"",IF(AND($C33&lt;=EOMONTH(X$7,0),$D33&gt;=X$7),"■",""))</f>
        <v/>
      </c>
      <c r="Y33" s="31">
        <f>IF(OR($C33="",$D33="",Y$7=""),"",IF(AND($C33&lt;=EOMONTH(Y$7,0),$D33&gt;=Y$7),"■",""))</f>
        <v/>
      </c>
      <c r="Z33" s="31">
        <f>IF(OR($C33="",$D33="",Z$7=""),"",IF(AND($C33&lt;=EOMONTH(Z$7,0),$D33&gt;=Z$7),"■",""))</f>
        <v/>
      </c>
    </row>
    <row r="34">
      <c r="A34" s="20" t="n"/>
      <c r="B34" s="20" t="n"/>
      <c r="C34" s="30" t="n"/>
      <c r="D34" s="30" t="n"/>
      <c r="E34" s="21">
        <f>IF(OR(C34="",D34=""),"",D34-C34+1)</f>
        <v/>
      </c>
      <c r="F34" s="20" t="n"/>
      <c r="G34" s="20" t="n"/>
      <c r="H34" s="21">
        <f>IF(A34="","",IF(IF(A34="","",IF(OR(C34="",D34=""),"🟡 Falta data. ",IF(D34&lt;C34,"🔴 Fim antes do início. ","")&amp;IF(OR(AND($B$3&lt;&gt;"",C34&lt;$B$3),AND($B$4&lt;&gt;"",D34&gt;$B$4)),"🔴 Fora do período do projeto. ",""))&amp;IF(B34="","🟡 Informe a etapa. ",IF(COUNTIF('ORÇAMENTO'!$A$8:$A$207,B34)=0,"🟡 Etapa sem despesa no orçamento: quem paga? ",""))&amp;IF(F34="","🟡 Sem responsável. ",""))="","🟢 OK",IF(A34="","",IF(OR(C34="",D34=""),"🟡 Falta data. ",IF(D34&lt;C34,"🔴 Fim antes do início. ","")&amp;IF(OR(AND($B$3&lt;&gt;"",C34&lt;$B$3),AND($B$4&lt;&gt;"",D34&gt;$B$4)),"🔴 Fora do período do projeto. ",""))&amp;IF(B34="","🟡 Informe a etapa. ",IF(COUNTIF('ORÇAMENTO'!$A$8:$A$207,B34)=0,"🟡 Etapa sem despesa no orçamento: quem paga? ",""))&amp;IF(F34="","🟡 Sem responsável. ",""))))</f>
        <v/>
      </c>
      <c r="I34" s="31">
        <f>IF(OR($C34="",$D34="",I$7=""),"",IF(AND($C34&lt;=EOMONTH(I$7,0),$D34&gt;=I$7),"■",""))</f>
        <v/>
      </c>
      <c r="J34" s="31">
        <f>IF(OR($C34="",$D34="",J$7=""),"",IF(AND($C34&lt;=EOMONTH(J$7,0),$D34&gt;=J$7),"■",""))</f>
        <v/>
      </c>
      <c r="K34" s="31">
        <f>IF(OR($C34="",$D34="",K$7=""),"",IF(AND($C34&lt;=EOMONTH(K$7,0),$D34&gt;=K$7),"■",""))</f>
        <v/>
      </c>
      <c r="L34" s="31">
        <f>IF(OR($C34="",$D34="",L$7=""),"",IF(AND($C34&lt;=EOMONTH(L$7,0),$D34&gt;=L$7),"■",""))</f>
        <v/>
      </c>
      <c r="M34" s="31">
        <f>IF(OR($C34="",$D34="",M$7=""),"",IF(AND($C34&lt;=EOMONTH(M$7,0),$D34&gt;=M$7),"■",""))</f>
        <v/>
      </c>
      <c r="N34" s="31">
        <f>IF(OR($C34="",$D34="",N$7=""),"",IF(AND($C34&lt;=EOMONTH(N$7,0),$D34&gt;=N$7),"■",""))</f>
        <v/>
      </c>
      <c r="O34" s="31">
        <f>IF(OR($C34="",$D34="",O$7=""),"",IF(AND($C34&lt;=EOMONTH(O$7,0),$D34&gt;=O$7),"■",""))</f>
        <v/>
      </c>
      <c r="P34" s="31">
        <f>IF(OR($C34="",$D34="",P$7=""),"",IF(AND($C34&lt;=EOMONTH(P$7,0),$D34&gt;=P$7),"■",""))</f>
        <v/>
      </c>
      <c r="Q34" s="31">
        <f>IF(OR($C34="",$D34="",Q$7=""),"",IF(AND($C34&lt;=EOMONTH(Q$7,0),$D34&gt;=Q$7),"■",""))</f>
        <v/>
      </c>
      <c r="R34" s="31">
        <f>IF(OR($C34="",$D34="",R$7=""),"",IF(AND($C34&lt;=EOMONTH(R$7,0),$D34&gt;=R$7),"■",""))</f>
        <v/>
      </c>
      <c r="S34" s="31">
        <f>IF(OR($C34="",$D34="",S$7=""),"",IF(AND($C34&lt;=EOMONTH(S$7,0),$D34&gt;=S$7),"■",""))</f>
        <v/>
      </c>
      <c r="T34" s="31">
        <f>IF(OR($C34="",$D34="",T$7=""),"",IF(AND($C34&lt;=EOMONTH(T$7,0),$D34&gt;=T$7),"■",""))</f>
        <v/>
      </c>
      <c r="U34" s="31">
        <f>IF(OR($C34="",$D34="",U$7=""),"",IF(AND($C34&lt;=EOMONTH(U$7,0),$D34&gt;=U$7),"■",""))</f>
        <v/>
      </c>
      <c r="V34" s="31">
        <f>IF(OR($C34="",$D34="",V$7=""),"",IF(AND($C34&lt;=EOMONTH(V$7,0),$D34&gt;=V$7),"■",""))</f>
        <v/>
      </c>
      <c r="W34" s="31">
        <f>IF(OR($C34="",$D34="",W$7=""),"",IF(AND($C34&lt;=EOMONTH(W$7,0),$D34&gt;=W$7),"■",""))</f>
        <v/>
      </c>
      <c r="X34" s="31">
        <f>IF(OR($C34="",$D34="",X$7=""),"",IF(AND($C34&lt;=EOMONTH(X$7,0),$D34&gt;=X$7),"■",""))</f>
        <v/>
      </c>
      <c r="Y34" s="31">
        <f>IF(OR($C34="",$D34="",Y$7=""),"",IF(AND($C34&lt;=EOMONTH(Y$7,0),$D34&gt;=Y$7),"■",""))</f>
        <v/>
      </c>
      <c r="Z34" s="31">
        <f>IF(OR($C34="",$D34="",Z$7=""),"",IF(AND($C34&lt;=EOMONTH(Z$7,0),$D34&gt;=Z$7),"■",""))</f>
        <v/>
      </c>
    </row>
    <row r="35">
      <c r="A35" s="20" t="n"/>
      <c r="B35" s="20" t="n"/>
      <c r="C35" s="30" t="n"/>
      <c r="D35" s="30" t="n"/>
      <c r="E35" s="21">
        <f>IF(OR(C35="",D35=""),"",D35-C35+1)</f>
        <v/>
      </c>
      <c r="F35" s="20" t="n"/>
      <c r="G35" s="20" t="n"/>
      <c r="H35" s="21">
        <f>IF(A35="","",IF(IF(A35="","",IF(OR(C35="",D35=""),"🟡 Falta data. ",IF(D35&lt;C35,"🔴 Fim antes do início. ","")&amp;IF(OR(AND($B$3&lt;&gt;"",C35&lt;$B$3),AND($B$4&lt;&gt;"",D35&gt;$B$4)),"🔴 Fora do período do projeto. ",""))&amp;IF(B35="","🟡 Informe a etapa. ",IF(COUNTIF('ORÇAMENTO'!$A$8:$A$207,B35)=0,"🟡 Etapa sem despesa no orçamento: quem paga? ",""))&amp;IF(F35="","🟡 Sem responsável. ",""))="","🟢 OK",IF(A35="","",IF(OR(C35="",D35=""),"🟡 Falta data. ",IF(D35&lt;C35,"🔴 Fim antes do início. ","")&amp;IF(OR(AND($B$3&lt;&gt;"",C35&lt;$B$3),AND($B$4&lt;&gt;"",D35&gt;$B$4)),"🔴 Fora do período do projeto. ",""))&amp;IF(B35="","🟡 Informe a etapa. ",IF(COUNTIF('ORÇAMENTO'!$A$8:$A$207,B35)=0,"🟡 Etapa sem despesa no orçamento: quem paga? ",""))&amp;IF(F35="","🟡 Sem responsável. ",""))))</f>
        <v/>
      </c>
      <c r="I35" s="31">
        <f>IF(OR($C35="",$D35="",I$7=""),"",IF(AND($C35&lt;=EOMONTH(I$7,0),$D35&gt;=I$7),"■",""))</f>
        <v/>
      </c>
      <c r="J35" s="31">
        <f>IF(OR($C35="",$D35="",J$7=""),"",IF(AND($C35&lt;=EOMONTH(J$7,0),$D35&gt;=J$7),"■",""))</f>
        <v/>
      </c>
      <c r="K35" s="31">
        <f>IF(OR($C35="",$D35="",K$7=""),"",IF(AND($C35&lt;=EOMONTH(K$7,0),$D35&gt;=K$7),"■",""))</f>
        <v/>
      </c>
      <c r="L35" s="31">
        <f>IF(OR($C35="",$D35="",L$7=""),"",IF(AND($C35&lt;=EOMONTH(L$7,0),$D35&gt;=L$7),"■",""))</f>
        <v/>
      </c>
      <c r="M35" s="31">
        <f>IF(OR($C35="",$D35="",M$7=""),"",IF(AND($C35&lt;=EOMONTH(M$7,0),$D35&gt;=M$7),"■",""))</f>
        <v/>
      </c>
      <c r="N35" s="31">
        <f>IF(OR($C35="",$D35="",N$7=""),"",IF(AND($C35&lt;=EOMONTH(N$7,0),$D35&gt;=N$7),"■",""))</f>
        <v/>
      </c>
      <c r="O35" s="31">
        <f>IF(OR($C35="",$D35="",O$7=""),"",IF(AND($C35&lt;=EOMONTH(O$7,0),$D35&gt;=O$7),"■",""))</f>
        <v/>
      </c>
      <c r="P35" s="31">
        <f>IF(OR($C35="",$D35="",P$7=""),"",IF(AND($C35&lt;=EOMONTH(P$7,0),$D35&gt;=P$7),"■",""))</f>
        <v/>
      </c>
      <c r="Q35" s="31">
        <f>IF(OR($C35="",$D35="",Q$7=""),"",IF(AND($C35&lt;=EOMONTH(Q$7,0),$D35&gt;=Q$7),"■",""))</f>
        <v/>
      </c>
      <c r="R35" s="31">
        <f>IF(OR($C35="",$D35="",R$7=""),"",IF(AND($C35&lt;=EOMONTH(R$7,0),$D35&gt;=R$7),"■",""))</f>
        <v/>
      </c>
      <c r="S35" s="31">
        <f>IF(OR($C35="",$D35="",S$7=""),"",IF(AND($C35&lt;=EOMONTH(S$7,0),$D35&gt;=S$7),"■",""))</f>
        <v/>
      </c>
      <c r="T35" s="31">
        <f>IF(OR($C35="",$D35="",T$7=""),"",IF(AND($C35&lt;=EOMONTH(T$7,0),$D35&gt;=T$7),"■",""))</f>
        <v/>
      </c>
      <c r="U35" s="31">
        <f>IF(OR($C35="",$D35="",U$7=""),"",IF(AND($C35&lt;=EOMONTH(U$7,0),$D35&gt;=U$7),"■",""))</f>
        <v/>
      </c>
      <c r="V35" s="31">
        <f>IF(OR($C35="",$D35="",V$7=""),"",IF(AND($C35&lt;=EOMONTH(V$7,0),$D35&gt;=V$7),"■",""))</f>
        <v/>
      </c>
      <c r="W35" s="31">
        <f>IF(OR($C35="",$D35="",W$7=""),"",IF(AND($C35&lt;=EOMONTH(W$7,0),$D35&gt;=W$7),"■",""))</f>
        <v/>
      </c>
      <c r="X35" s="31">
        <f>IF(OR($C35="",$D35="",X$7=""),"",IF(AND($C35&lt;=EOMONTH(X$7,0),$D35&gt;=X$7),"■",""))</f>
        <v/>
      </c>
      <c r="Y35" s="31">
        <f>IF(OR($C35="",$D35="",Y$7=""),"",IF(AND($C35&lt;=EOMONTH(Y$7,0),$D35&gt;=Y$7),"■",""))</f>
        <v/>
      </c>
      <c r="Z35" s="31">
        <f>IF(OR($C35="",$D35="",Z$7=""),"",IF(AND($C35&lt;=EOMONTH(Z$7,0),$D35&gt;=Z$7),"■",""))</f>
        <v/>
      </c>
    </row>
    <row r="36">
      <c r="A36" s="20" t="n"/>
      <c r="B36" s="20" t="n"/>
      <c r="C36" s="30" t="n"/>
      <c r="D36" s="30" t="n"/>
      <c r="E36" s="21">
        <f>IF(OR(C36="",D36=""),"",D36-C36+1)</f>
        <v/>
      </c>
      <c r="F36" s="20" t="n"/>
      <c r="G36" s="20" t="n"/>
      <c r="H36" s="21">
        <f>IF(A36="","",IF(IF(A36="","",IF(OR(C36="",D36=""),"🟡 Falta data. ",IF(D36&lt;C36,"🔴 Fim antes do início. ","")&amp;IF(OR(AND($B$3&lt;&gt;"",C36&lt;$B$3),AND($B$4&lt;&gt;"",D36&gt;$B$4)),"🔴 Fora do período do projeto. ",""))&amp;IF(B36="","🟡 Informe a etapa. ",IF(COUNTIF('ORÇAMENTO'!$A$8:$A$207,B36)=0,"🟡 Etapa sem despesa no orçamento: quem paga? ",""))&amp;IF(F36="","🟡 Sem responsável. ",""))="","🟢 OK",IF(A36="","",IF(OR(C36="",D36=""),"🟡 Falta data. ",IF(D36&lt;C36,"🔴 Fim antes do início. ","")&amp;IF(OR(AND($B$3&lt;&gt;"",C36&lt;$B$3),AND($B$4&lt;&gt;"",D36&gt;$B$4)),"🔴 Fora do período do projeto. ",""))&amp;IF(B36="","🟡 Informe a etapa. ",IF(COUNTIF('ORÇAMENTO'!$A$8:$A$207,B36)=0,"🟡 Etapa sem despesa no orçamento: quem paga? ",""))&amp;IF(F36="","🟡 Sem responsável. ",""))))</f>
        <v/>
      </c>
      <c r="I36" s="31">
        <f>IF(OR($C36="",$D36="",I$7=""),"",IF(AND($C36&lt;=EOMONTH(I$7,0),$D36&gt;=I$7),"■",""))</f>
        <v/>
      </c>
      <c r="J36" s="31">
        <f>IF(OR($C36="",$D36="",J$7=""),"",IF(AND($C36&lt;=EOMONTH(J$7,0),$D36&gt;=J$7),"■",""))</f>
        <v/>
      </c>
      <c r="K36" s="31">
        <f>IF(OR($C36="",$D36="",K$7=""),"",IF(AND($C36&lt;=EOMONTH(K$7,0),$D36&gt;=K$7),"■",""))</f>
        <v/>
      </c>
      <c r="L36" s="31">
        <f>IF(OR($C36="",$D36="",L$7=""),"",IF(AND($C36&lt;=EOMONTH(L$7,0),$D36&gt;=L$7),"■",""))</f>
        <v/>
      </c>
      <c r="M36" s="31">
        <f>IF(OR($C36="",$D36="",M$7=""),"",IF(AND($C36&lt;=EOMONTH(M$7,0),$D36&gt;=M$7),"■",""))</f>
        <v/>
      </c>
      <c r="N36" s="31">
        <f>IF(OR($C36="",$D36="",N$7=""),"",IF(AND($C36&lt;=EOMONTH(N$7,0),$D36&gt;=N$7),"■",""))</f>
        <v/>
      </c>
      <c r="O36" s="31">
        <f>IF(OR($C36="",$D36="",O$7=""),"",IF(AND($C36&lt;=EOMONTH(O$7,0),$D36&gt;=O$7),"■",""))</f>
        <v/>
      </c>
      <c r="P36" s="31">
        <f>IF(OR($C36="",$D36="",P$7=""),"",IF(AND($C36&lt;=EOMONTH(P$7,0),$D36&gt;=P$7),"■",""))</f>
        <v/>
      </c>
      <c r="Q36" s="31">
        <f>IF(OR($C36="",$D36="",Q$7=""),"",IF(AND($C36&lt;=EOMONTH(Q$7,0),$D36&gt;=Q$7),"■",""))</f>
        <v/>
      </c>
      <c r="R36" s="31">
        <f>IF(OR($C36="",$D36="",R$7=""),"",IF(AND($C36&lt;=EOMONTH(R$7,0),$D36&gt;=R$7),"■",""))</f>
        <v/>
      </c>
      <c r="S36" s="31">
        <f>IF(OR($C36="",$D36="",S$7=""),"",IF(AND($C36&lt;=EOMONTH(S$7,0),$D36&gt;=S$7),"■",""))</f>
        <v/>
      </c>
      <c r="T36" s="31">
        <f>IF(OR($C36="",$D36="",T$7=""),"",IF(AND($C36&lt;=EOMONTH(T$7,0),$D36&gt;=T$7),"■",""))</f>
        <v/>
      </c>
      <c r="U36" s="31">
        <f>IF(OR($C36="",$D36="",U$7=""),"",IF(AND($C36&lt;=EOMONTH(U$7,0),$D36&gt;=U$7),"■",""))</f>
        <v/>
      </c>
      <c r="V36" s="31">
        <f>IF(OR($C36="",$D36="",V$7=""),"",IF(AND($C36&lt;=EOMONTH(V$7,0),$D36&gt;=V$7),"■",""))</f>
        <v/>
      </c>
      <c r="W36" s="31">
        <f>IF(OR($C36="",$D36="",W$7=""),"",IF(AND($C36&lt;=EOMONTH(W$7,0),$D36&gt;=W$7),"■",""))</f>
        <v/>
      </c>
      <c r="X36" s="31">
        <f>IF(OR($C36="",$D36="",X$7=""),"",IF(AND($C36&lt;=EOMONTH(X$7,0),$D36&gt;=X$7),"■",""))</f>
        <v/>
      </c>
      <c r="Y36" s="31">
        <f>IF(OR($C36="",$D36="",Y$7=""),"",IF(AND($C36&lt;=EOMONTH(Y$7,0),$D36&gt;=Y$7),"■",""))</f>
        <v/>
      </c>
      <c r="Z36" s="31">
        <f>IF(OR($C36="",$D36="",Z$7=""),"",IF(AND($C36&lt;=EOMONTH(Z$7,0),$D36&gt;=Z$7),"■",""))</f>
        <v/>
      </c>
    </row>
    <row r="37">
      <c r="A37" s="20" t="n"/>
      <c r="B37" s="20" t="n"/>
      <c r="C37" s="30" t="n"/>
      <c r="D37" s="30" t="n"/>
      <c r="E37" s="21">
        <f>IF(OR(C37="",D37=""),"",D37-C37+1)</f>
        <v/>
      </c>
      <c r="F37" s="20" t="n"/>
      <c r="G37" s="20" t="n"/>
      <c r="H37" s="21">
        <f>IF(A37="","",IF(IF(A37="","",IF(OR(C37="",D37=""),"🟡 Falta data. ",IF(D37&lt;C37,"🔴 Fim antes do início. ","")&amp;IF(OR(AND($B$3&lt;&gt;"",C37&lt;$B$3),AND($B$4&lt;&gt;"",D37&gt;$B$4)),"🔴 Fora do período do projeto. ",""))&amp;IF(B37="","🟡 Informe a etapa. ",IF(COUNTIF('ORÇAMENTO'!$A$8:$A$207,B37)=0,"🟡 Etapa sem despesa no orçamento: quem paga? ",""))&amp;IF(F37="","🟡 Sem responsável. ",""))="","🟢 OK",IF(A37="","",IF(OR(C37="",D37=""),"🟡 Falta data. ",IF(D37&lt;C37,"🔴 Fim antes do início. ","")&amp;IF(OR(AND($B$3&lt;&gt;"",C37&lt;$B$3),AND($B$4&lt;&gt;"",D37&gt;$B$4)),"🔴 Fora do período do projeto. ",""))&amp;IF(B37="","🟡 Informe a etapa. ",IF(COUNTIF('ORÇAMENTO'!$A$8:$A$207,B37)=0,"🟡 Etapa sem despesa no orçamento: quem paga? ",""))&amp;IF(F37="","🟡 Sem responsável. ",""))))</f>
        <v/>
      </c>
      <c r="I37" s="31">
        <f>IF(OR($C37="",$D37="",I$7=""),"",IF(AND($C37&lt;=EOMONTH(I$7,0),$D37&gt;=I$7),"■",""))</f>
        <v/>
      </c>
      <c r="J37" s="31">
        <f>IF(OR($C37="",$D37="",J$7=""),"",IF(AND($C37&lt;=EOMONTH(J$7,0),$D37&gt;=J$7),"■",""))</f>
        <v/>
      </c>
      <c r="K37" s="31">
        <f>IF(OR($C37="",$D37="",K$7=""),"",IF(AND($C37&lt;=EOMONTH(K$7,0),$D37&gt;=K$7),"■",""))</f>
        <v/>
      </c>
      <c r="L37" s="31">
        <f>IF(OR($C37="",$D37="",L$7=""),"",IF(AND($C37&lt;=EOMONTH(L$7,0),$D37&gt;=L$7),"■",""))</f>
        <v/>
      </c>
      <c r="M37" s="31">
        <f>IF(OR($C37="",$D37="",M$7=""),"",IF(AND($C37&lt;=EOMONTH(M$7,0),$D37&gt;=M$7),"■",""))</f>
        <v/>
      </c>
      <c r="N37" s="31">
        <f>IF(OR($C37="",$D37="",N$7=""),"",IF(AND($C37&lt;=EOMONTH(N$7,0),$D37&gt;=N$7),"■",""))</f>
        <v/>
      </c>
      <c r="O37" s="31">
        <f>IF(OR($C37="",$D37="",O$7=""),"",IF(AND($C37&lt;=EOMONTH(O$7,0),$D37&gt;=O$7),"■",""))</f>
        <v/>
      </c>
      <c r="P37" s="31">
        <f>IF(OR($C37="",$D37="",P$7=""),"",IF(AND($C37&lt;=EOMONTH(P$7,0),$D37&gt;=P$7),"■",""))</f>
        <v/>
      </c>
      <c r="Q37" s="31">
        <f>IF(OR($C37="",$D37="",Q$7=""),"",IF(AND($C37&lt;=EOMONTH(Q$7,0),$D37&gt;=Q$7),"■",""))</f>
        <v/>
      </c>
      <c r="R37" s="31">
        <f>IF(OR($C37="",$D37="",R$7=""),"",IF(AND($C37&lt;=EOMONTH(R$7,0),$D37&gt;=R$7),"■",""))</f>
        <v/>
      </c>
      <c r="S37" s="31">
        <f>IF(OR($C37="",$D37="",S$7=""),"",IF(AND($C37&lt;=EOMONTH(S$7,0),$D37&gt;=S$7),"■",""))</f>
        <v/>
      </c>
      <c r="T37" s="31">
        <f>IF(OR($C37="",$D37="",T$7=""),"",IF(AND($C37&lt;=EOMONTH(T$7,0),$D37&gt;=T$7),"■",""))</f>
        <v/>
      </c>
      <c r="U37" s="31">
        <f>IF(OR($C37="",$D37="",U$7=""),"",IF(AND($C37&lt;=EOMONTH(U$7,0),$D37&gt;=U$7),"■",""))</f>
        <v/>
      </c>
      <c r="V37" s="31">
        <f>IF(OR($C37="",$D37="",V$7=""),"",IF(AND($C37&lt;=EOMONTH(V$7,0),$D37&gt;=V$7),"■",""))</f>
        <v/>
      </c>
      <c r="W37" s="31">
        <f>IF(OR($C37="",$D37="",W$7=""),"",IF(AND($C37&lt;=EOMONTH(W$7,0),$D37&gt;=W$7),"■",""))</f>
        <v/>
      </c>
      <c r="X37" s="31">
        <f>IF(OR($C37="",$D37="",X$7=""),"",IF(AND($C37&lt;=EOMONTH(X$7,0),$D37&gt;=X$7),"■",""))</f>
        <v/>
      </c>
      <c r="Y37" s="31">
        <f>IF(OR($C37="",$D37="",Y$7=""),"",IF(AND($C37&lt;=EOMONTH(Y$7,0),$D37&gt;=Y$7),"■",""))</f>
        <v/>
      </c>
      <c r="Z37" s="31">
        <f>IF(OR($C37="",$D37="",Z$7=""),"",IF(AND($C37&lt;=EOMONTH(Z$7,0),$D37&gt;=Z$7),"■",""))</f>
        <v/>
      </c>
    </row>
    <row r="38">
      <c r="A38" s="20" t="n"/>
      <c r="B38" s="20" t="n"/>
      <c r="C38" s="30" t="n"/>
      <c r="D38" s="30" t="n"/>
      <c r="E38" s="21">
        <f>IF(OR(C38="",D38=""),"",D38-C38+1)</f>
        <v/>
      </c>
      <c r="F38" s="20" t="n"/>
      <c r="G38" s="20" t="n"/>
      <c r="H38" s="21">
        <f>IF(A38="","",IF(IF(A38="","",IF(OR(C38="",D38=""),"🟡 Falta data. ",IF(D38&lt;C38,"🔴 Fim antes do início. ","")&amp;IF(OR(AND($B$3&lt;&gt;"",C38&lt;$B$3),AND($B$4&lt;&gt;"",D38&gt;$B$4)),"🔴 Fora do período do projeto. ",""))&amp;IF(B38="","🟡 Informe a etapa. ",IF(COUNTIF('ORÇAMENTO'!$A$8:$A$207,B38)=0,"🟡 Etapa sem despesa no orçamento: quem paga? ",""))&amp;IF(F38="","🟡 Sem responsável. ",""))="","🟢 OK",IF(A38="","",IF(OR(C38="",D38=""),"🟡 Falta data. ",IF(D38&lt;C38,"🔴 Fim antes do início. ","")&amp;IF(OR(AND($B$3&lt;&gt;"",C38&lt;$B$3),AND($B$4&lt;&gt;"",D38&gt;$B$4)),"🔴 Fora do período do projeto. ",""))&amp;IF(B38="","🟡 Informe a etapa. ",IF(COUNTIF('ORÇAMENTO'!$A$8:$A$207,B38)=0,"🟡 Etapa sem despesa no orçamento: quem paga? ",""))&amp;IF(F38="","🟡 Sem responsável. ",""))))</f>
        <v/>
      </c>
      <c r="I38" s="31">
        <f>IF(OR($C38="",$D38="",I$7=""),"",IF(AND($C38&lt;=EOMONTH(I$7,0),$D38&gt;=I$7),"■",""))</f>
        <v/>
      </c>
      <c r="J38" s="31">
        <f>IF(OR($C38="",$D38="",J$7=""),"",IF(AND($C38&lt;=EOMONTH(J$7,0),$D38&gt;=J$7),"■",""))</f>
        <v/>
      </c>
      <c r="K38" s="31">
        <f>IF(OR($C38="",$D38="",K$7=""),"",IF(AND($C38&lt;=EOMONTH(K$7,0),$D38&gt;=K$7),"■",""))</f>
        <v/>
      </c>
      <c r="L38" s="31">
        <f>IF(OR($C38="",$D38="",L$7=""),"",IF(AND($C38&lt;=EOMONTH(L$7,0),$D38&gt;=L$7),"■",""))</f>
        <v/>
      </c>
      <c r="M38" s="31">
        <f>IF(OR($C38="",$D38="",M$7=""),"",IF(AND($C38&lt;=EOMONTH(M$7,0),$D38&gt;=M$7),"■",""))</f>
        <v/>
      </c>
      <c r="N38" s="31">
        <f>IF(OR($C38="",$D38="",N$7=""),"",IF(AND($C38&lt;=EOMONTH(N$7,0),$D38&gt;=N$7),"■",""))</f>
        <v/>
      </c>
      <c r="O38" s="31">
        <f>IF(OR($C38="",$D38="",O$7=""),"",IF(AND($C38&lt;=EOMONTH(O$7,0),$D38&gt;=O$7),"■",""))</f>
        <v/>
      </c>
      <c r="P38" s="31">
        <f>IF(OR($C38="",$D38="",P$7=""),"",IF(AND($C38&lt;=EOMONTH(P$7,0),$D38&gt;=P$7),"■",""))</f>
        <v/>
      </c>
      <c r="Q38" s="31">
        <f>IF(OR($C38="",$D38="",Q$7=""),"",IF(AND($C38&lt;=EOMONTH(Q$7,0),$D38&gt;=Q$7),"■",""))</f>
        <v/>
      </c>
      <c r="R38" s="31">
        <f>IF(OR($C38="",$D38="",R$7=""),"",IF(AND($C38&lt;=EOMONTH(R$7,0),$D38&gt;=R$7),"■",""))</f>
        <v/>
      </c>
      <c r="S38" s="31">
        <f>IF(OR($C38="",$D38="",S$7=""),"",IF(AND($C38&lt;=EOMONTH(S$7,0),$D38&gt;=S$7),"■",""))</f>
        <v/>
      </c>
      <c r="T38" s="31">
        <f>IF(OR($C38="",$D38="",T$7=""),"",IF(AND($C38&lt;=EOMONTH(T$7,0),$D38&gt;=T$7),"■",""))</f>
        <v/>
      </c>
      <c r="U38" s="31">
        <f>IF(OR($C38="",$D38="",U$7=""),"",IF(AND($C38&lt;=EOMONTH(U$7,0),$D38&gt;=U$7),"■",""))</f>
        <v/>
      </c>
      <c r="V38" s="31">
        <f>IF(OR($C38="",$D38="",V$7=""),"",IF(AND($C38&lt;=EOMONTH(V$7,0),$D38&gt;=V$7),"■",""))</f>
        <v/>
      </c>
      <c r="W38" s="31">
        <f>IF(OR($C38="",$D38="",W$7=""),"",IF(AND($C38&lt;=EOMONTH(W$7,0),$D38&gt;=W$7),"■",""))</f>
        <v/>
      </c>
      <c r="X38" s="31">
        <f>IF(OR($C38="",$D38="",X$7=""),"",IF(AND($C38&lt;=EOMONTH(X$7,0),$D38&gt;=X$7),"■",""))</f>
        <v/>
      </c>
      <c r="Y38" s="31">
        <f>IF(OR($C38="",$D38="",Y$7=""),"",IF(AND($C38&lt;=EOMONTH(Y$7,0),$D38&gt;=Y$7),"■",""))</f>
        <v/>
      </c>
      <c r="Z38" s="31">
        <f>IF(OR($C38="",$D38="",Z$7=""),"",IF(AND($C38&lt;=EOMONTH(Z$7,0),$D38&gt;=Z$7),"■",""))</f>
        <v/>
      </c>
    </row>
    <row r="39">
      <c r="A39" s="20" t="n"/>
      <c r="B39" s="20" t="n"/>
      <c r="C39" s="30" t="n"/>
      <c r="D39" s="30" t="n"/>
      <c r="E39" s="21">
        <f>IF(OR(C39="",D39=""),"",D39-C39+1)</f>
        <v/>
      </c>
      <c r="F39" s="20" t="n"/>
      <c r="G39" s="20" t="n"/>
      <c r="H39" s="21">
        <f>IF(A39="","",IF(IF(A39="","",IF(OR(C39="",D39=""),"🟡 Falta data. ",IF(D39&lt;C39,"🔴 Fim antes do início. ","")&amp;IF(OR(AND($B$3&lt;&gt;"",C39&lt;$B$3),AND($B$4&lt;&gt;"",D39&gt;$B$4)),"🔴 Fora do período do projeto. ",""))&amp;IF(B39="","🟡 Informe a etapa. ",IF(COUNTIF('ORÇAMENTO'!$A$8:$A$207,B39)=0,"🟡 Etapa sem despesa no orçamento: quem paga? ",""))&amp;IF(F39="","🟡 Sem responsável. ",""))="","🟢 OK",IF(A39="","",IF(OR(C39="",D39=""),"🟡 Falta data. ",IF(D39&lt;C39,"🔴 Fim antes do início. ","")&amp;IF(OR(AND($B$3&lt;&gt;"",C39&lt;$B$3),AND($B$4&lt;&gt;"",D39&gt;$B$4)),"🔴 Fora do período do projeto. ",""))&amp;IF(B39="","🟡 Informe a etapa. ",IF(COUNTIF('ORÇAMENTO'!$A$8:$A$207,B39)=0,"🟡 Etapa sem despesa no orçamento: quem paga? ",""))&amp;IF(F39="","🟡 Sem responsável. ",""))))</f>
        <v/>
      </c>
      <c r="I39" s="31">
        <f>IF(OR($C39="",$D39="",I$7=""),"",IF(AND($C39&lt;=EOMONTH(I$7,0),$D39&gt;=I$7),"■",""))</f>
        <v/>
      </c>
      <c r="J39" s="31">
        <f>IF(OR($C39="",$D39="",J$7=""),"",IF(AND($C39&lt;=EOMONTH(J$7,0),$D39&gt;=J$7),"■",""))</f>
        <v/>
      </c>
      <c r="K39" s="31">
        <f>IF(OR($C39="",$D39="",K$7=""),"",IF(AND($C39&lt;=EOMONTH(K$7,0),$D39&gt;=K$7),"■",""))</f>
        <v/>
      </c>
      <c r="L39" s="31">
        <f>IF(OR($C39="",$D39="",L$7=""),"",IF(AND($C39&lt;=EOMONTH(L$7,0),$D39&gt;=L$7),"■",""))</f>
        <v/>
      </c>
      <c r="M39" s="31">
        <f>IF(OR($C39="",$D39="",M$7=""),"",IF(AND($C39&lt;=EOMONTH(M$7,0),$D39&gt;=M$7),"■",""))</f>
        <v/>
      </c>
      <c r="N39" s="31">
        <f>IF(OR($C39="",$D39="",N$7=""),"",IF(AND($C39&lt;=EOMONTH(N$7,0),$D39&gt;=N$7),"■",""))</f>
        <v/>
      </c>
      <c r="O39" s="31">
        <f>IF(OR($C39="",$D39="",O$7=""),"",IF(AND($C39&lt;=EOMONTH(O$7,0),$D39&gt;=O$7),"■",""))</f>
        <v/>
      </c>
      <c r="P39" s="31">
        <f>IF(OR($C39="",$D39="",P$7=""),"",IF(AND($C39&lt;=EOMONTH(P$7,0),$D39&gt;=P$7),"■",""))</f>
        <v/>
      </c>
      <c r="Q39" s="31">
        <f>IF(OR($C39="",$D39="",Q$7=""),"",IF(AND($C39&lt;=EOMONTH(Q$7,0),$D39&gt;=Q$7),"■",""))</f>
        <v/>
      </c>
      <c r="R39" s="31">
        <f>IF(OR($C39="",$D39="",R$7=""),"",IF(AND($C39&lt;=EOMONTH(R$7,0),$D39&gt;=R$7),"■",""))</f>
        <v/>
      </c>
      <c r="S39" s="31">
        <f>IF(OR($C39="",$D39="",S$7=""),"",IF(AND($C39&lt;=EOMONTH(S$7,0),$D39&gt;=S$7),"■",""))</f>
        <v/>
      </c>
      <c r="T39" s="31">
        <f>IF(OR($C39="",$D39="",T$7=""),"",IF(AND($C39&lt;=EOMONTH(T$7,0),$D39&gt;=T$7),"■",""))</f>
        <v/>
      </c>
      <c r="U39" s="31">
        <f>IF(OR($C39="",$D39="",U$7=""),"",IF(AND($C39&lt;=EOMONTH(U$7,0),$D39&gt;=U$7),"■",""))</f>
        <v/>
      </c>
      <c r="V39" s="31">
        <f>IF(OR($C39="",$D39="",V$7=""),"",IF(AND($C39&lt;=EOMONTH(V$7,0),$D39&gt;=V$7),"■",""))</f>
        <v/>
      </c>
      <c r="W39" s="31">
        <f>IF(OR($C39="",$D39="",W$7=""),"",IF(AND($C39&lt;=EOMONTH(W$7,0),$D39&gt;=W$7),"■",""))</f>
        <v/>
      </c>
      <c r="X39" s="31">
        <f>IF(OR($C39="",$D39="",X$7=""),"",IF(AND($C39&lt;=EOMONTH(X$7,0),$D39&gt;=X$7),"■",""))</f>
        <v/>
      </c>
      <c r="Y39" s="31">
        <f>IF(OR($C39="",$D39="",Y$7=""),"",IF(AND($C39&lt;=EOMONTH(Y$7,0),$D39&gt;=Y$7),"■",""))</f>
        <v/>
      </c>
      <c r="Z39" s="31">
        <f>IF(OR($C39="",$D39="",Z$7=""),"",IF(AND($C39&lt;=EOMONTH(Z$7,0),$D39&gt;=Z$7),"■",""))</f>
        <v/>
      </c>
    </row>
    <row r="40">
      <c r="A40" s="20" t="n"/>
      <c r="B40" s="20" t="n"/>
      <c r="C40" s="30" t="n"/>
      <c r="D40" s="30" t="n"/>
      <c r="E40" s="21">
        <f>IF(OR(C40="",D40=""),"",D40-C40+1)</f>
        <v/>
      </c>
      <c r="F40" s="20" t="n"/>
      <c r="G40" s="20" t="n"/>
      <c r="H40" s="21">
        <f>IF(A40="","",IF(IF(A40="","",IF(OR(C40="",D40=""),"🟡 Falta data. ",IF(D40&lt;C40,"🔴 Fim antes do início. ","")&amp;IF(OR(AND($B$3&lt;&gt;"",C40&lt;$B$3),AND($B$4&lt;&gt;"",D40&gt;$B$4)),"🔴 Fora do período do projeto. ",""))&amp;IF(B40="","🟡 Informe a etapa. ",IF(COUNTIF('ORÇAMENTO'!$A$8:$A$207,B40)=0,"🟡 Etapa sem despesa no orçamento: quem paga? ",""))&amp;IF(F40="","🟡 Sem responsável. ",""))="","🟢 OK",IF(A40="","",IF(OR(C40="",D40=""),"🟡 Falta data. ",IF(D40&lt;C40,"🔴 Fim antes do início. ","")&amp;IF(OR(AND($B$3&lt;&gt;"",C40&lt;$B$3),AND($B$4&lt;&gt;"",D40&gt;$B$4)),"🔴 Fora do período do projeto. ",""))&amp;IF(B40="","🟡 Informe a etapa. ",IF(COUNTIF('ORÇAMENTO'!$A$8:$A$207,B40)=0,"🟡 Etapa sem despesa no orçamento: quem paga? ",""))&amp;IF(F40="","🟡 Sem responsável. ",""))))</f>
        <v/>
      </c>
      <c r="I40" s="31">
        <f>IF(OR($C40="",$D40="",I$7=""),"",IF(AND($C40&lt;=EOMONTH(I$7,0),$D40&gt;=I$7),"■",""))</f>
        <v/>
      </c>
      <c r="J40" s="31">
        <f>IF(OR($C40="",$D40="",J$7=""),"",IF(AND($C40&lt;=EOMONTH(J$7,0),$D40&gt;=J$7),"■",""))</f>
        <v/>
      </c>
      <c r="K40" s="31">
        <f>IF(OR($C40="",$D40="",K$7=""),"",IF(AND($C40&lt;=EOMONTH(K$7,0),$D40&gt;=K$7),"■",""))</f>
        <v/>
      </c>
      <c r="L40" s="31">
        <f>IF(OR($C40="",$D40="",L$7=""),"",IF(AND($C40&lt;=EOMONTH(L$7,0),$D40&gt;=L$7),"■",""))</f>
        <v/>
      </c>
      <c r="M40" s="31">
        <f>IF(OR($C40="",$D40="",M$7=""),"",IF(AND($C40&lt;=EOMONTH(M$7,0),$D40&gt;=M$7),"■",""))</f>
        <v/>
      </c>
      <c r="N40" s="31">
        <f>IF(OR($C40="",$D40="",N$7=""),"",IF(AND($C40&lt;=EOMONTH(N$7,0),$D40&gt;=N$7),"■",""))</f>
        <v/>
      </c>
      <c r="O40" s="31">
        <f>IF(OR($C40="",$D40="",O$7=""),"",IF(AND($C40&lt;=EOMONTH(O$7,0),$D40&gt;=O$7),"■",""))</f>
        <v/>
      </c>
      <c r="P40" s="31">
        <f>IF(OR($C40="",$D40="",P$7=""),"",IF(AND($C40&lt;=EOMONTH(P$7,0),$D40&gt;=P$7),"■",""))</f>
        <v/>
      </c>
      <c r="Q40" s="31">
        <f>IF(OR($C40="",$D40="",Q$7=""),"",IF(AND($C40&lt;=EOMONTH(Q$7,0),$D40&gt;=Q$7),"■",""))</f>
        <v/>
      </c>
      <c r="R40" s="31">
        <f>IF(OR($C40="",$D40="",R$7=""),"",IF(AND($C40&lt;=EOMONTH(R$7,0),$D40&gt;=R$7),"■",""))</f>
        <v/>
      </c>
      <c r="S40" s="31">
        <f>IF(OR($C40="",$D40="",S$7=""),"",IF(AND($C40&lt;=EOMONTH(S$7,0),$D40&gt;=S$7),"■",""))</f>
        <v/>
      </c>
      <c r="T40" s="31">
        <f>IF(OR($C40="",$D40="",T$7=""),"",IF(AND($C40&lt;=EOMONTH(T$7,0),$D40&gt;=T$7),"■",""))</f>
        <v/>
      </c>
      <c r="U40" s="31">
        <f>IF(OR($C40="",$D40="",U$7=""),"",IF(AND($C40&lt;=EOMONTH(U$7,0),$D40&gt;=U$7),"■",""))</f>
        <v/>
      </c>
      <c r="V40" s="31">
        <f>IF(OR($C40="",$D40="",V$7=""),"",IF(AND($C40&lt;=EOMONTH(V$7,0),$D40&gt;=V$7),"■",""))</f>
        <v/>
      </c>
      <c r="W40" s="31">
        <f>IF(OR($C40="",$D40="",W$7=""),"",IF(AND($C40&lt;=EOMONTH(W$7,0),$D40&gt;=W$7),"■",""))</f>
        <v/>
      </c>
      <c r="X40" s="31">
        <f>IF(OR($C40="",$D40="",X$7=""),"",IF(AND($C40&lt;=EOMONTH(X$7,0),$D40&gt;=X$7),"■",""))</f>
        <v/>
      </c>
      <c r="Y40" s="31">
        <f>IF(OR($C40="",$D40="",Y$7=""),"",IF(AND($C40&lt;=EOMONTH(Y$7,0),$D40&gt;=Y$7),"■",""))</f>
        <v/>
      </c>
      <c r="Z40" s="31">
        <f>IF(OR($C40="",$D40="",Z$7=""),"",IF(AND($C40&lt;=EOMONTH(Z$7,0),$D40&gt;=Z$7),"■",""))</f>
        <v/>
      </c>
    </row>
    <row r="41">
      <c r="A41" s="20" t="n"/>
      <c r="B41" s="20" t="n"/>
      <c r="C41" s="30" t="n"/>
      <c r="D41" s="30" t="n"/>
      <c r="E41" s="21">
        <f>IF(OR(C41="",D41=""),"",D41-C41+1)</f>
        <v/>
      </c>
      <c r="F41" s="20" t="n"/>
      <c r="G41" s="20" t="n"/>
      <c r="H41" s="21">
        <f>IF(A41="","",IF(IF(A41="","",IF(OR(C41="",D41=""),"🟡 Falta data. ",IF(D41&lt;C41,"🔴 Fim antes do início. ","")&amp;IF(OR(AND($B$3&lt;&gt;"",C41&lt;$B$3),AND($B$4&lt;&gt;"",D41&gt;$B$4)),"🔴 Fora do período do projeto. ",""))&amp;IF(B41="","🟡 Informe a etapa. ",IF(COUNTIF('ORÇAMENTO'!$A$8:$A$207,B41)=0,"🟡 Etapa sem despesa no orçamento: quem paga? ",""))&amp;IF(F41="","🟡 Sem responsável. ",""))="","🟢 OK",IF(A41="","",IF(OR(C41="",D41=""),"🟡 Falta data. ",IF(D41&lt;C41,"🔴 Fim antes do início. ","")&amp;IF(OR(AND($B$3&lt;&gt;"",C41&lt;$B$3),AND($B$4&lt;&gt;"",D41&gt;$B$4)),"🔴 Fora do período do projeto. ",""))&amp;IF(B41="","🟡 Informe a etapa. ",IF(COUNTIF('ORÇAMENTO'!$A$8:$A$207,B41)=0,"🟡 Etapa sem despesa no orçamento: quem paga? ",""))&amp;IF(F41="","🟡 Sem responsável. ",""))))</f>
        <v/>
      </c>
      <c r="I41" s="31">
        <f>IF(OR($C41="",$D41="",I$7=""),"",IF(AND($C41&lt;=EOMONTH(I$7,0),$D41&gt;=I$7),"■",""))</f>
        <v/>
      </c>
      <c r="J41" s="31">
        <f>IF(OR($C41="",$D41="",J$7=""),"",IF(AND($C41&lt;=EOMONTH(J$7,0),$D41&gt;=J$7),"■",""))</f>
        <v/>
      </c>
      <c r="K41" s="31">
        <f>IF(OR($C41="",$D41="",K$7=""),"",IF(AND($C41&lt;=EOMONTH(K$7,0),$D41&gt;=K$7),"■",""))</f>
        <v/>
      </c>
      <c r="L41" s="31">
        <f>IF(OR($C41="",$D41="",L$7=""),"",IF(AND($C41&lt;=EOMONTH(L$7,0),$D41&gt;=L$7),"■",""))</f>
        <v/>
      </c>
      <c r="M41" s="31">
        <f>IF(OR($C41="",$D41="",M$7=""),"",IF(AND($C41&lt;=EOMONTH(M$7,0),$D41&gt;=M$7),"■",""))</f>
        <v/>
      </c>
      <c r="N41" s="31">
        <f>IF(OR($C41="",$D41="",N$7=""),"",IF(AND($C41&lt;=EOMONTH(N$7,0),$D41&gt;=N$7),"■",""))</f>
        <v/>
      </c>
      <c r="O41" s="31">
        <f>IF(OR($C41="",$D41="",O$7=""),"",IF(AND($C41&lt;=EOMONTH(O$7,0),$D41&gt;=O$7),"■",""))</f>
        <v/>
      </c>
      <c r="P41" s="31">
        <f>IF(OR($C41="",$D41="",P$7=""),"",IF(AND($C41&lt;=EOMONTH(P$7,0),$D41&gt;=P$7),"■",""))</f>
        <v/>
      </c>
      <c r="Q41" s="31">
        <f>IF(OR($C41="",$D41="",Q$7=""),"",IF(AND($C41&lt;=EOMONTH(Q$7,0),$D41&gt;=Q$7),"■",""))</f>
        <v/>
      </c>
      <c r="R41" s="31">
        <f>IF(OR($C41="",$D41="",R$7=""),"",IF(AND($C41&lt;=EOMONTH(R$7,0),$D41&gt;=R$7),"■",""))</f>
        <v/>
      </c>
      <c r="S41" s="31">
        <f>IF(OR($C41="",$D41="",S$7=""),"",IF(AND($C41&lt;=EOMONTH(S$7,0),$D41&gt;=S$7),"■",""))</f>
        <v/>
      </c>
      <c r="T41" s="31">
        <f>IF(OR($C41="",$D41="",T$7=""),"",IF(AND($C41&lt;=EOMONTH(T$7,0),$D41&gt;=T$7),"■",""))</f>
        <v/>
      </c>
      <c r="U41" s="31">
        <f>IF(OR($C41="",$D41="",U$7=""),"",IF(AND($C41&lt;=EOMONTH(U$7,0),$D41&gt;=U$7),"■",""))</f>
        <v/>
      </c>
      <c r="V41" s="31">
        <f>IF(OR($C41="",$D41="",V$7=""),"",IF(AND($C41&lt;=EOMONTH(V$7,0),$D41&gt;=V$7),"■",""))</f>
        <v/>
      </c>
      <c r="W41" s="31">
        <f>IF(OR($C41="",$D41="",W$7=""),"",IF(AND($C41&lt;=EOMONTH(W$7,0),$D41&gt;=W$7),"■",""))</f>
        <v/>
      </c>
      <c r="X41" s="31">
        <f>IF(OR($C41="",$D41="",X$7=""),"",IF(AND($C41&lt;=EOMONTH(X$7,0),$D41&gt;=X$7),"■",""))</f>
        <v/>
      </c>
      <c r="Y41" s="31">
        <f>IF(OR($C41="",$D41="",Y$7=""),"",IF(AND($C41&lt;=EOMONTH(Y$7,0),$D41&gt;=Y$7),"■",""))</f>
        <v/>
      </c>
      <c r="Z41" s="31">
        <f>IF(OR($C41="",$D41="",Z$7=""),"",IF(AND($C41&lt;=EOMONTH(Z$7,0),$D41&gt;=Z$7),"■",""))</f>
        <v/>
      </c>
    </row>
    <row r="42">
      <c r="A42" s="20" t="n"/>
      <c r="B42" s="20" t="n"/>
      <c r="C42" s="30" t="n"/>
      <c r="D42" s="30" t="n"/>
      <c r="E42" s="21">
        <f>IF(OR(C42="",D42=""),"",D42-C42+1)</f>
        <v/>
      </c>
      <c r="F42" s="20" t="n"/>
      <c r="G42" s="20" t="n"/>
      <c r="H42" s="21">
        <f>IF(A42="","",IF(IF(A42="","",IF(OR(C42="",D42=""),"🟡 Falta data. ",IF(D42&lt;C42,"🔴 Fim antes do início. ","")&amp;IF(OR(AND($B$3&lt;&gt;"",C42&lt;$B$3),AND($B$4&lt;&gt;"",D42&gt;$B$4)),"🔴 Fora do período do projeto. ",""))&amp;IF(B42="","🟡 Informe a etapa. ",IF(COUNTIF('ORÇAMENTO'!$A$8:$A$207,B42)=0,"🟡 Etapa sem despesa no orçamento: quem paga? ",""))&amp;IF(F42="","🟡 Sem responsável. ",""))="","🟢 OK",IF(A42="","",IF(OR(C42="",D42=""),"🟡 Falta data. ",IF(D42&lt;C42,"🔴 Fim antes do início. ","")&amp;IF(OR(AND($B$3&lt;&gt;"",C42&lt;$B$3),AND($B$4&lt;&gt;"",D42&gt;$B$4)),"🔴 Fora do período do projeto. ",""))&amp;IF(B42="","🟡 Informe a etapa. ",IF(COUNTIF('ORÇAMENTO'!$A$8:$A$207,B42)=0,"🟡 Etapa sem despesa no orçamento: quem paga? ",""))&amp;IF(F42="","🟡 Sem responsável. ",""))))</f>
        <v/>
      </c>
      <c r="I42" s="31">
        <f>IF(OR($C42="",$D42="",I$7=""),"",IF(AND($C42&lt;=EOMONTH(I$7,0),$D42&gt;=I$7),"■",""))</f>
        <v/>
      </c>
      <c r="J42" s="31">
        <f>IF(OR($C42="",$D42="",J$7=""),"",IF(AND($C42&lt;=EOMONTH(J$7,0),$D42&gt;=J$7),"■",""))</f>
        <v/>
      </c>
      <c r="K42" s="31">
        <f>IF(OR($C42="",$D42="",K$7=""),"",IF(AND($C42&lt;=EOMONTH(K$7,0),$D42&gt;=K$7),"■",""))</f>
        <v/>
      </c>
      <c r="L42" s="31">
        <f>IF(OR($C42="",$D42="",L$7=""),"",IF(AND($C42&lt;=EOMONTH(L$7,0),$D42&gt;=L$7),"■",""))</f>
        <v/>
      </c>
      <c r="M42" s="31">
        <f>IF(OR($C42="",$D42="",M$7=""),"",IF(AND($C42&lt;=EOMONTH(M$7,0),$D42&gt;=M$7),"■",""))</f>
        <v/>
      </c>
      <c r="N42" s="31">
        <f>IF(OR($C42="",$D42="",N$7=""),"",IF(AND($C42&lt;=EOMONTH(N$7,0),$D42&gt;=N$7),"■",""))</f>
        <v/>
      </c>
      <c r="O42" s="31">
        <f>IF(OR($C42="",$D42="",O$7=""),"",IF(AND($C42&lt;=EOMONTH(O$7,0),$D42&gt;=O$7),"■",""))</f>
        <v/>
      </c>
      <c r="P42" s="31">
        <f>IF(OR($C42="",$D42="",P$7=""),"",IF(AND($C42&lt;=EOMONTH(P$7,0),$D42&gt;=P$7),"■",""))</f>
        <v/>
      </c>
      <c r="Q42" s="31">
        <f>IF(OR($C42="",$D42="",Q$7=""),"",IF(AND($C42&lt;=EOMONTH(Q$7,0),$D42&gt;=Q$7),"■",""))</f>
        <v/>
      </c>
      <c r="R42" s="31">
        <f>IF(OR($C42="",$D42="",R$7=""),"",IF(AND($C42&lt;=EOMONTH(R$7,0),$D42&gt;=R$7),"■",""))</f>
        <v/>
      </c>
      <c r="S42" s="31">
        <f>IF(OR($C42="",$D42="",S$7=""),"",IF(AND($C42&lt;=EOMONTH(S$7,0),$D42&gt;=S$7),"■",""))</f>
        <v/>
      </c>
      <c r="T42" s="31">
        <f>IF(OR($C42="",$D42="",T$7=""),"",IF(AND($C42&lt;=EOMONTH(T$7,0),$D42&gt;=T$7),"■",""))</f>
        <v/>
      </c>
      <c r="U42" s="31">
        <f>IF(OR($C42="",$D42="",U$7=""),"",IF(AND($C42&lt;=EOMONTH(U$7,0),$D42&gt;=U$7),"■",""))</f>
        <v/>
      </c>
      <c r="V42" s="31">
        <f>IF(OR($C42="",$D42="",V$7=""),"",IF(AND($C42&lt;=EOMONTH(V$7,0),$D42&gt;=V$7),"■",""))</f>
        <v/>
      </c>
      <c r="W42" s="31">
        <f>IF(OR($C42="",$D42="",W$7=""),"",IF(AND($C42&lt;=EOMONTH(W$7,0),$D42&gt;=W$7),"■",""))</f>
        <v/>
      </c>
      <c r="X42" s="31">
        <f>IF(OR($C42="",$D42="",X$7=""),"",IF(AND($C42&lt;=EOMONTH(X$7,0),$D42&gt;=X$7),"■",""))</f>
        <v/>
      </c>
      <c r="Y42" s="31">
        <f>IF(OR($C42="",$D42="",Y$7=""),"",IF(AND($C42&lt;=EOMONTH(Y$7,0),$D42&gt;=Y$7),"■",""))</f>
        <v/>
      </c>
      <c r="Z42" s="31">
        <f>IF(OR($C42="",$D42="",Z$7=""),"",IF(AND($C42&lt;=EOMONTH(Z$7,0),$D42&gt;=Z$7),"■",""))</f>
        <v/>
      </c>
    </row>
    <row r="43">
      <c r="A43" s="20" t="n"/>
      <c r="B43" s="20" t="n"/>
      <c r="C43" s="30" t="n"/>
      <c r="D43" s="30" t="n"/>
      <c r="E43" s="21">
        <f>IF(OR(C43="",D43=""),"",D43-C43+1)</f>
        <v/>
      </c>
      <c r="F43" s="20" t="n"/>
      <c r="G43" s="20" t="n"/>
      <c r="H43" s="21">
        <f>IF(A43="","",IF(IF(A43="","",IF(OR(C43="",D43=""),"🟡 Falta data. ",IF(D43&lt;C43,"🔴 Fim antes do início. ","")&amp;IF(OR(AND($B$3&lt;&gt;"",C43&lt;$B$3),AND($B$4&lt;&gt;"",D43&gt;$B$4)),"🔴 Fora do período do projeto. ",""))&amp;IF(B43="","🟡 Informe a etapa. ",IF(COUNTIF('ORÇAMENTO'!$A$8:$A$207,B43)=0,"🟡 Etapa sem despesa no orçamento: quem paga? ",""))&amp;IF(F43="","🟡 Sem responsável. ",""))="","🟢 OK",IF(A43="","",IF(OR(C43="",D43=""),"🟡 Falta data. ",IF(D43&lt;C43,"🔴 Fim antes do início. ","")&amp;IF(OR(AND($B$3&lt;&gt;"",C43&lt;$B$3),AND($B$4&lt;&gt;"",D43&gt;$B$4)),"🔴 Fora do período do projeto. ",""))&amp;IF(B43="","🟡 Informe a etapa. ",IF(COUNTIF('ORÇAMENTO'!$A$8:$A$207,B43)=0,"🟡 Etapa sem despesa no orçamento: quem paga? ",""))&amp;IF(F43="","🟡 Sem responsável. ",""))))</f>
        <v/>
      </c>
      <c r="I43" s="31">
        <f>IF(OR($C43="",$D43="",I$7=""),"",IF(AND($C43&lt;=EOMONTH(I$7,0),$D43&gt;=I$7),"■",""))</f>
        <v/>
      </c>
      <c r="J43" s="31">
        <f>IF(OR($C43="",$D43="",J$7=""),"",IF(AND($C43&lt;=EOMONTH(J$7,0),$D43&gt;=J$7),"■",""))</f>
        <v/>
      </c>
      <c r="K43" s="31">
        <f>IF(OR($C43="",$D43="",K$7=""),"",IF(AND($C43&lt;=EOMONTH(K$7,0),$D43&gt;=K$7),"■",""))</f>
        <v/>
      </c>
      <c r="L43" s="31">
        <f>IF(OR($C43="",$D43="",L$7=""),"",IF(AND($C43&lt;=EOMONTH(L$7,0),$D43&gt;=L$7),"■",""))</f>
        <v/>
      </c>
      <c r="M43" s="31">
        <f>IF(OR($C43="",$D43="",M$7=""),"",IF(AND($C43&lt;=EOMONTH(M$7,0),$D43&gt;=M$7),"■",""))</f>
        <v/>
      </c>
      <c r="N43" s="31">
        <f>IF(OR($C43="",$D43="",N$7=""),"",IF(AND($C43&lt;=EOMONTH(N$7,0),$D43&gt;=N$7),"■",""))</f>
        <v/>
      </c>
      <c r="O43" s="31">
        <f>IF(OR($C43="",$D43="",O$7=""),"",IF(AND($C43&lt;=EOMONTH(O$7,0),$D43&gt;=O$7),"■",""))</f>
        <v/>
      </c>
      <c r="P43" s="31">
        <f>IF(OR($C43="",$D43="",P$7=""),"",IF(AND($C43&lt;=EOMONTH(P$7,0),$D43&gt;=P$7),"■",""))</f>
        <v/>
      </c>
      <c r="Q43" s="31">
        <f>IF(OR($C43="",$D43="",Q$7=""),"",IF(AND($C43&lt;=EOMONTH(Q$7,0),$D43&gt;=Q$7),"■",""))</f>
        <v/>
      </c>
      <c r="R43" s="31">
        <f>IF(OR($C43="",$D43="",R$7=""),"",IF(AND($C43&lt;=EOMONTH(R$7,0),$D43&gt;=R$7),"■",""))</f>
        <v/>
      </c>
      <c r="S43" s="31">
        <f>IF(OR($C43="",$D43="",S$7=""),"",IF(AND($C43&lt;=EOMONTH(S$7,0),$D43&gt;=S$7),"■",""))</f>
        <v/>
      </c>
      <c r="T43" s="31">
        <f>IF(OR($C43="",$D43="",T$7=""),"",IF(AND($C43&lt;=EOMONTH(T$7,0),$D43&gt;=T$7),"■",""))</f>
        <v/>
      </c>
      <c r="U43" s="31">
        <f>IF(OR($C43="",$D43="",U$7=""),"",IF(AND($C43&lt;=EOMONTH(U$7,0),$D43&gt;=U$7),"■",""))</f>
        <v/>
      </c>
      <c r="V43" s="31">
        <f>IF(OR($C43="",$D43="",V$7=""),"",IF(AND($C43&lt;=EOMONTH(V$7,0),$D43&gt;=V$7),"■",""))</f>
        <v/>
      </c>
      <c r="W43" s="31">
        <f>IF(OR($C43="",$D43="",W$7=""),"",IF(AND($C43&lt;=EOMONTH(W$7,0),$D43&gt;=W$7),"■",""))</f>
        <v/>
      </c>
      <c r="X43" s="31">
        <f>IF(OR($C43="",$D43="",X$7=""),"",IF(AND($C43&lt;=EOMONTH(X$7,0),$D43&gt;=X$7),"■",""))</f>
        <v/>
      </c>
      <c r="Y43" s="31">
        <f>IF(OR($C43="",$D43="",Y$7=""),"",IF(AND($C43&lt;=EOMONTH(Y$7,0),$D43&gt;=Y$7),"■",""))</f>
        <v/>
      </c>
      <c r="Z43" s="31">
        <f>IF(OR($C43="",$D43="",Z$7=""),"",IF(AND($C43&lt;=EOMONTH(Z$7,0),$D43&gt;=Z$7),"■",""))</f>
        <v/>
      </c>
    </row>
    <row r="44">
      <c r="A44" s="20" t="n"/>
      <c r="B44" s="20" t="n"/>
      <c r="C44" s="30" t="n"/>
      <c r="D44" s="30" t="n"/>
      <c r="E44" s="21">
        <f>IF(OR(C44="",D44=""),"",D44-C44+1)</f>
        <v/>
      </c>
      <c r="F44" s="20" t="n"/>
      <c r="G44" s="20" t="n"/>
      <c r="H44" s="21">
        <f>IF(A44="","",IF(IF(A44="","",IF(OR(C44="",D44=""),"🟡 Falta data. ",IF(D44&lt;C44,"🔴 Fim antes do início. ","")&amp;IF(OR(AND($B$3&lt;&gt;"",C44&lt;$B$3),AND($B$4&lt;&gt;"",D44&gt;$B$4)),"🔴 Fora do período do projeto. ",""))&amp;IF(B44="","🟡 Informe a etapa. ",IF(COUNTIF('ORÇAMENTO'!$A$8:$A$207,B44)=0,"🟡 Etapa sem despesa no orçamento: quem paga? ",""))&amp;IF(F44="","🟡 Sem responsável. ",""))="","🟢 OK",IF(A44="","",IF(OR(C44="",D44=""),"🟡 Falta data. ",IF(D44&lt;C44,"🔴 Fim antes do início. ","")&amp;IF(OR(AND($B$3&lt;&gt;"",C44&lt;$B$3),AND($B$4&lt;&gt;"",D44&gt;$B$4)),"🔴 Fora do período do projeto. ",""))&amp;IF(B44="","🟡 Informe a etapa. ",IF(COUNTIF('ORÇAMENTO'!$A$8:$A$207,B44)=0,"🟡 Etapa sem despesa no orçamento: quem paga? ",""))&amp;IF(F44="","🟡 Sem responsável. ",""))))</f>
        <v/>
      </c>
      <c r="I44" s="31">
        <f>IF(OR($C44="",$D44="",I$7=""),"",IF(AND($C44&lt;=EOMONTH(I$7,0),$D44&gt;=I$7),"■",""))</f>
        <v/>
      </c>
      <c r="J44" s="31">
        <f>IF(OR($C44="",$D44="",J$7=""),"",IF(AND($C44&lt;=EOMONTH(J$7,0),$D44&gt;=J$7),"■",""))</f>
        <v/>
      </c>
      <c r="K44" s="31">
        <f>IF(OR($C44="",$D44="",K$7=""),"",IF(AND($C44&lt;=EOMONTH(K$7,0),$D44&gt;=K$7),"■",""))</f>
        <v/>
      </c>
      <c r="L44" s="31">
        <f>IF(OR($C44="",$D44="",L$7=""),"",IF(AND($C44&lt;=EOMONTH(L$7,0),$D44&gt;=L$7),"■",""))</f>
        <v/>
      </c>
      <c r="M44" s="31">
        <f>IF(OR($C44="",$D44="",M$7=""),"",IF(AND($C44&lt;=EOMONTH(M$7,0),$D44&gt;=M$7),"■",""))</f>
        <v/>
      </c>
      <c r="N44" s="31">
        <f>IF(OR($C44="",$D44="",N$7=""),"",IF(AND($C44&lt;=EOMONTH(N$7,0),$D44&gt;=N$7),"■",""))</f>
        <v/>
      </c>
      <c r="O44" s="31">
        <f>IF(OR($C44="",$D44="",O$7=""),"",IF(AND($C44&lt;=EOMONTH(O$7,0),$D44&gt;=O$7),"■",""))</f>
        <v/>
      </c>
      <c r="P44" s="31">
        <f>IF(OR($C44="",$D44="",P$7=""),"",IF(AND($C44&lt;=EOMONTH(P$7,0),$D44&gt;=P$7),"■",""))</f>
        <v/>
      </c>
      <c r="Q44" s="31">
        <f>IF(OR($C44="",$D44="",Q$7=""),"",IF(AND($C44&lt;=EOMONTH(Q$7,0),$D44&gt;=Q$7),"■",""))</f>
        <v/>
      </c>
      <c r="R44" s="31">
        <f>IF(OR($C44="",$D44="",R$7=""),"",IF(AND($C44&lt;=EOMONTH(R$7,0),$D44&gt;=R$7),"■",""))</f>
        <v/>
      </c>
      <c r="S44" s="31">
        <f>IF(OR($C44="",$D44="",S$7=""),"",IF(AND($C44&lt;=EOMONTH(S$7,0),$D44&gt;=S$7),"■",""))</f>
        <v/>
      </c>
      <c r="T44" s="31">
        <f>IF(OR($C44="",$D44="",T$7=""),"",IF(AND($C44&lt;=EOMONTH(T$7,0),$D44&gt;=T$7),"■",""))</f>
        <v/>
      </c>
      <c r="U44" s="31">
        <f>IF(OR($C44="",$D44="",U$7=""),"",IF(AND($C44&lt;=EOMONTH(U$7,0),$D44&gt;=U$7),"■",""))</f>
        <v/>
      </c>
      <c r="V44" s="31">
        <f>IF(OR($C44="",$D44="",V$7=""),"",IF(AND($C44&lt;=EOMONTH(V$7,0),$D44&gt;=V$7),"■",""))</f>
        <v/>
      </c>
      <c r="W44" s="31">
        <f>IF(OR($C44="",$D44="",W$7=""),"",IF(AND($C44&lt;=EOMONTH(W$7,0),$D44&gt;=W$7),"■",""))</f>
        <v/>
      </c>
      <c r="X44" s="31">
        <f>IF(OR($C44="",$D44="",X$7=""),"",IF(AND($C44&lt;=EOMONTH(X$7,0),$D44&gt;=X$7),"■",""))</f>
        <v/>
      </c>
      <c r="Y44" s="31">
        <f>IF(OR($C44="",$D44="",Y$7=""),"",IF(AND($C44&lt;=EOMONTH(Y$7,0),$D44&gt;=Y$7),"■",""))</f>
        <v/>
      </c>
      <c r="Z44" s="31">
        <f>IF(OR($C44="",$D44="",Z$7=""),"",IF(AND($C44&lt;=EOMONTH(Z$7,0),$D44&gt;=Z$7),"■",""))</f>
        <v/>
      </c>
    </row>
    <row r="45">
      <c r="A45" s="20" t="n"/>
      <c r="B45" s="20" t="n"/>
      <c r="C45" s="30" t="n"/>
      <c r="D45" s="30" t="n"/>
      <c r="E45" s="21">
        <f>IF(OR(C45="",D45=""),"",D45-C45+1)</f>
        <v/>
      </c>
      <c r="F45" s="20" t="n"/>
      <c r="G45" s="20" t="n"/>
      <c r="H45" s="21">
        <f>IF(A45="","",IF(IF(A45="","",IF(OR(C45="",D45=""),"🟡 Falta data. ",IF(D45&lt;C45,"🔴 Fim antes do início. ","")&amp;IF(OR(AND($B$3&lt;&gt;"",C45&lt;$B$3),AND($B$4&lt;&gt;"",D45&gt;$B$4)),"🔴 Fora do período do projeto. ",""))&amp;IF(B45="","🟡 Informe a etapa. ",IF(COUNTIF('ORÇAMENTO'!$A$8:$A$207,B45)=0,"🟡 Etapa sem despesa no orçamento: quem paga? ",""))&amp;IF(F45="","🟡 Sem responsável. ",""))="","🟢 OK",IF(A45="","",IF(OR(C45="",D45=""),"🟡 Falta data. ",IF(D45&lt;C45,"🔴 Fim antes do início. ","")&amp;IF(OR(AND($B$3&lt;&gt;"",C45&lt;$B$3),AND($B$4&lt;&gt;"",D45&gt;$B$4)),"🔴 Fora do período do projeto. ",""))&amp;IF(B45="","🟡 Informe a etapa. ",IF(COUNTIF('ORÇAMENTO'!$A$8:$A$207,B45)=0,"🟡 Etapa sem despesa no orçamento: quem paga? ",""))&amp;IF(F45="","🟡 Sem responsável. ",""))))</f>
        <v/>
      </c>
      <c r="I45" s="31">
        <f>IF(OR($C45="",$D45="",I$7=""),"",IF(AND($C45&lt;=EOMONTH(I$7,0),$D45&gt;=I$7),"■",""))</f>
        <v/>
      </c>
      <c r="J45" s="31">
        <f>IF(OR($C45="",$D45="",J$7=""),"",IF(AND($C45&lt;=EOMONTH(J$7,0),$D45&gt;=J$7),"■",""))</f>
        <v/>
      </c>
      <c r="K45" s="31">
        <f>IF(OR($C45="",$D45="",K$7=""),"",IF(AND($C45&lt;=EOMONTH(K$7,0),$D45&gt;=K$7),"■",""))</f>
        <v/>
      </c>
      <c r="L45" s="31">
        <f>IF(OR($C45="",$D45="",L$7=""),"",IF(AND($C45&lt;=EOMONTH(L$7,0),$D45&gt;=L$7),"■",""))</f>
        <v/>
      </c>
      <c r="M45" s="31">
        <f>IF(OR($C45="",$D45="",M$7=""),"",IF(AND($C45&lt;=EOMONTH(M$7,0),$D45&gt;=M$7),"■",""))</f>
        <v/>
      </c>
      <c r="N45" s="31">
        <f>IF(OR($C45="",$D45="",N$7=""),"",IF(AND($C45&lt;=EOMONTH(N$7,0),$D45&gt;=N$7),"■",""))</f>
        <v/>
      </c>
      <c r="O45" s="31">
        <f>IF(OR($C45="",$D45="",O$7=""),"",IF(AND($C45&lt;=EOMONTH(O$7,0),$D45&gt;=O$7),"■",""))</f>
        <v/>
      </c>
      <c r="P45" s="31">
        <f>IF(OR($C45="",$D45="",P$7=""),"",IF(AND($C45&lt;=EOMONTH(P$7,0),$D45&gt;=P$7),"■",""))</f>
        <v/>
      </c>
      <c r="Q45" s="31">
        <f>IF(OR($C45="",$D45="",Q$7=""),"",IF(AND($C45&lt;=EOMONTH(Q$7,0),$D45&gt;=Q$7),"■",""))</f>
        <v/>
      </c>
      <c r="R45" s="31">
        <f>IF(OR($C45="",$D45="",R$7=""),"",IF(AND($C45&lt;=EOMONTH(R$7,0),$D45&gt;=R$7),"■",""))</f>
        <v/>
      </c>
      <c r="S45" s="31">
        <f>IF(OR($C45="",$D45="",S$7=""),"",IF(AND($C45&lt;=EOMONTH(S$7,0),$D45&gt;=S$7),"■",""))</f>
        <v/>
      </c>
      <c r="T45" s="31">
        <f>IF(OR($C45="",$D45="",T$7=""),"",IF(AND($C45&lt;=EOMONTH(T$7,0),$D45&gt;=T$7),"■",""))</f>
        <v/>
      </c>
      <c r="U45" s="31">
        <f>IF(OR($C45="",$D45="",U$7=""),"",IF(AND($C45&lt;=EOMONTH(U$7,0),$D45&gt;=U$7),"■",""))</f>
        <v/>
      </c>
      <c r="V45" s="31">
        <f>IF(OR($C45="",$D45="",V$7=""),"",IF(AND($C45&lt;=EOMONTH(V$7,0),$D45&gt;=V$7),"■",""))</f>
        <v/>
      </c>
      <c r="W45" s="31">
        <f>IF(OR($C45="",$D45="",W$7=""),"",IF(AND($C45&lt;=EOMONTH(W$7,0),$D45&gt;=W$7),"■",""))</f>
        <v/>
      </c>
      <c r="X45" s="31">
        <f>IF(OR($C45="",$D45="",X$7=""),"",IF(AND($C45&lt;=EOMONTH(X$7,0),$D45&gt;=X$7),"■",""))</f>
        <v/>
      </c>
      <c r="Y45" s="31">
        <f>IF(OR($C45="",$D45="",Y$7=""),"",IF(AND($C45&lt;=EOMONTH(Y$7,0),$D45&gt;=Y$7),"■",""))</f>
        <v/>
      </c>
      <c r="Z45" s="31">
        <f>IF(OR($C45="",$D45="",Z$7=""),"",IF(AND($C45&lt;=EOMONTH(Z$7,0),$D45&gt;=Z$7),"■",""))</f>
        <v/>
      </c>
    </row>
    <row r="46">
      <c r="A46" s="20" t="n"/>
      <c r="B46" s="20" t="n"/>
      <c r="C46" s="30" t="n"/>
      <c r="D46" s="30" t="n"/>
      <c r="E46" s="21">
        <f>IF(OR(C46="",D46=""),"",D46-C46+1)</f>
        <v/>
      </c>
      <c r="F46" s="20" t="n"/>
      <c r="G46" s="20" t="n"/>
      <c r="H46" s="21">
        <f>IF(A46="","",IF(IF(A46="","",IF(OR(C46="",D46=""),"🟡 Falta data. ",IF(D46&lt;C46,"🔴 Fim antes do início. ","")&amp;IF(OR(AND($B$3&lt;&gt;"",C46&lt;$B$3),AND($B$4&lt;&gt;"",D46&gt;$B$4)),"🔴 Fora do período do projeto. ",""))&amp;IF(B46="","🟡 Informe a etapa. ",IF(COUNTIF('ORÇAMENTO'!$A$8:$A$207,B46)=0,"🟡 Etapa sem despesa no orçamento: quem paga? ",""))&amp;IF(F46="","🟡 Sem responsável. ",""))="","🟢 OK",IF(A46="","",IF(OR(C46="",D46=""),"🟡 Falta data. ",IF(D46&lt;C46,"🔴 Fim antes do início. ","")&amp;IF(OR(AND($B$3&lt;&gt;"",C46&lt;$B$3),AND($B$4&lt;&gt;"",D46&gt;$B$4)),"🔴 Fora do período do projeto. ",""))&amp;IF(B46="","🟡 Informe a etapa. ",IF(COUNTIF('ORÇAMENTO'!$A$8:$A$207,B46)=0,"🟡 Etapa sem despesa no orçamento: quem paga? ",""))&amp;IF(F46="","🟡 Sem responsável. ",""))))</f>
        <v/>
      </c>
      <c r="I46" s="31">
        <f>IF(OR($C46="",$D46="",I$7=""),"",IF(AND($C46&lt;=EOMONTH(I$7,0),$D46&gt;=I$7),"■",""))</f>
        <v/>
      </c>
      <c r="J46" s="31">
        <f>IF(OR($C46="",$D46="",J$7=""),"",IF(AND($C46&lt;=EOMONTH(J$7,0),$D46&gt;=J$7),"■",""))</f>
        <v/>
      </c>
      <c r="K46" s="31">
        <f>IF(OR($C46="",$D46="",K$7=""),"",IF(AND($C46&lt;=EOMONTH(K$7,0),$D46&gt;=K$7),"■",""))</f>
        <v/>
      </c>
      <c r="L46" s="31">
        <f>IF(OR($C46="",$D46="",L$7=""),"",IF(AND($C46&lt;=EOMONTH(L$7,0),$D46&gt;=L$7),"■",""))</f>
        <v/>
      </c>
      <c r="M46" s="31">
        <f>IF(OR($C46="",$D46="",M$7=""),"",IF(AND($C46&lt;=EOMONTH(M$7,0),$D46&gt;=M$7),"■",""))</f>
        <v/>
      </c>
      <c r="N46" s="31">
        <f>IF(OR($C46="",$D46="",N$7=""),"",IF(AND($C46&lt;=EOMONTH(N$7,0),$D46&gt;=N$7),"■",""))</f>
        <v/>
      </c>
      <c r="O46" s="31">
        <f>IF(OR($C46="",$D46="",O$7=""),"",IF(AND($C46&lt;=EOMONTH(O$7,0),$D46&gt;=O$7),"■",""))</f>
        <v/>
      </c>
      <c r="P46" s="31">
        <f>IF(OR($C46="",$D46="",P$7=""),"",IF(AND($C46&lt;=EOMONTH(P$7,0),$D46&gt;=P$7),"■",""))</f>
        <v/>
      </c>
      <c r="Q46" s="31">
        <f>IF(OR($C46="",$D46="",Q$7=""),"",IF(AND($C46&lt;=EOMONTH(Q$7,0),$D46&gt;=Q$7),"■",""))</f>
        <v/>
      </c>
      <c r="R46" s="31">
        <f>IF(OR($C46="",$D46="",R$7=""),"",IF(AND($C46&lt;=EOMONTH(R$7,0),$D46&gt;=R$7),"■",""))</f>
        <v/>
      </c>
      <c r="S46" s="31">
        <f>IF(OR($C46="",$D46="",S$7=""),"",IF(AND($C46&lt;=EOMONTH(S$7,0),$D46&gt;=S$7),"■",""))</f>
        <v/>
      </c>
      <c r="T46" s="31">
        <f>IF(OR($C46="",$D46="",T$7=""),"",IF(AND($C46&lt;=EOMONTH(T$7,0),$D46&gt;=T$7),"■",""))</f>
        <v/>
      </c>
      <c r="U46" s="31">
        <f>IF(OR($C46="",$D46="",U$7=""),"",IF(AND($C46&lt;=EOMONTH(U$7,0),$D46&gt;=U$7),"■",""))</f>
        <v/>
      </c>
      <c r="V46" s="31">
        <f>IF(OR($C46="",$D46="",V$7=""),"",IF(AND($C46&lt;=EOMONTH(V$7,0),$D46&gt;=V$7),"■",""))</f>
        <v/>
      </c>
      <c r="W46" s="31">
        <f>IF(OR($C46="",$D46="",W$7=""),"",IF(AND($C46&lt;=EOMONTH(W$7,0),$D46&gt;=W$7),"■",""))</f>
        <v/>
      </c>
      <c r="X46" s="31">
        <f>IF(OR($C46="",$D46="",X$7=""),"",IF(AND($C46&lt;=EOMONTH(X$7,0),$D46&gt;=X$7),"■",""))</f>
        <v/>
      </c>
      <c r="Y46" s="31">
        <f>IF(OR($C46="",$D46="",Y$7=""),"",IF(AND($C46&lt;=EOMONTH(Y$7,0),$D46&gt;=Y$7),"■",""))</f>
        <v/>
      </c>
      <c r="Z46" s="31">
        <f>IF(OR($C46="",$D46="",Z$7=""),"",IF(AND($C46&lt;=EOMONTH(Z$7,0),$D46&gt;=Z$7),"■",""))</f>
        <v/>
      </c>
    </row>
    <row r="47">
      <c r="A47" s="20" t="n"/>
      <c r="B47" s="20" t="n"/>
      <c r="C47" s="30" t="n"/>
      <c r="D47" s="30" t="n"/>
      <c r="E47" s="21">
        <f>IF(OR(C47="",D47=""),"",D47-C47+1)</f>
        <v/>
      </c>
      <c r="F47" s="20" t="n"/>
      <c r="G47" s="20" t="n"/>
      <c r="H47" s="21">
        <f>IF(A47="","",IF(IF(A47="","",IF(OR(C47="",D47=""),"🟡 Falta data. ",IF(D47&lt;C47,"🔴 Fim antes do início. ","")&amp;IF(OR(AND($B$3&lt;&gt;"",C47&lt;$B$3),AND($B$4&lt;&gt;"",D47&gt;$B$4)),"🔴 Fora do período do projeto. ",""))&amp;IF(B47="","🟡 Informe a etapa. ",IF(COUNTIF('ORÇAMENTO'!$A$8:$A$207,B47)=0,"🟡 Etapa sem despesa no orçamento: quem paga? ",""))&amp;IF(F47="","🟡 Sem responsável. ",""))="","🟢 OK",IF(A47="","",IF(OR(C47="",D47=""),"🟡 Falta data. ",IF(D47&lt;C47,"🔴 Fim antes do início. ","")&amp;IF(OR(AND($B$3&lt;&gt;"",C47&lt;$B$3),AND($B$4&lt;&gt;"",D47&gt;$B$4)),"🔴 Fora do período do projeto. ",""))&amp;IF(B47="","🟡 Informe a etapa. ",IF(COUNTIF('ORÇAMENTO'!$A$8:$A$207,B47)=0,"🟡 Etapa sem despesa no orçamento: quem paga? ",""))&amp;IF(F47="","🟡 Sem responsável. ",""))))</f>
        <v/>
      </c>
      <c r="I47" s="31">
        <f>IF(OR($C47="",$D47="",I$7=""),"",IF(AND($C47&lt;=EOMONTH(I$7,0),$D47&gt;=I$7),"■",""))</f>
        <v/>
      </c>
      <c r="J47" s="31">
        <f>IF(OR($C47="",$D47="",J$7=""),"",IF(AND($C47&lt;=EOMONTH(J$7,0),$D47&gt;=J$7),"■",""))</f>
        <v/>
      </c>
      <c r="K47" s="31">
        <f>IF(OR($C47="",$D47="",K$7=""),"",IF(AND($C47&lt;=EOMONTH(K$7,0),$D47&gt;=K$7),"■",""))</f>
        <v/>
      </c>
      <c r="L47" s="31">
        <f>IF(OR($C47="",$D47="",L$7=""),"",IF(AND($C47&lt;=EOMONTH(L$7,0),$D47&gt;=L$7),"■",""))</f>
        <v/>
      </c>
      <c r="M47" s="31">
        <f>IF(OR($C47="",$D47="",M$7=""),"",IF(AND($C47&lt;=EOMONTH(M$7,0),$D47&gt;=M$7),"■",""))</f>
        <v/>
      </c>
      <c r="N47" s="31">
        <f>IF(OR($C47="",$D47="",N$7=""),"",IF(AND($C47&lt;=EOMONTH(N$7,0),$D47&gt;=N$7),"■",""))</f>
        <v/>
      </c>
      <c r="O47" s="31">
        <f>IF(OR($C47="",$D47="",O$7=""),"",IF(AND($C47&lt;=EOMONTH(O$7,0),$D47&gt;=O$7),"■",""))</f>
        <v/>
      </c>
      <c r="P47" s="31">
        <f>IF(OR($C47="",$D47="",P$7=""),"",IF(AND($C47&lt;=EOMONTH(P$7,0),$D47&gt;=P$7),"■",""))</f>
        <v/>
      </c>
      <c r="Q47" s="31">
        <f>IF(OR($C47="",$D47="",Q$7=""),"",IF(AND($C47&lt;=EOMONTH(Q$7,0),$D47&gt;=Q$7),"■",""))</f>
        <v/>
      </c>
      <c r="R47" s="31">
        <f>IF(OR($C47="",$D47="",R$7=""),"",IF(AND($C47&lt;=EOMONTH(R$7,0),$D47&gt;=R$7),"■",""))</f>
        <v/>
      </c>
      <c r="S47" s="31">
        <f>IF(OR($C47="",$D47="",S$7=""),"",IF(AND($C47&lt;=EOMONTH(S$7,0),$D47&gt;=S$7),"■",""))</f>
        <v/>
      </c>
      <c r="T47" s="31">
        <f>IF(OR($C47="",$D47="",T$7=""),"",IF(AND($C47&lt;=EOMONTH(T$7,0),$D47&gt;=T$7),"■",""))</f>
        <v/>
      </c>
      <c r="U47" s="31">
        <f>IF(OR($C47="",$D47="",U$7=""),"",IF(AND($C47&lt;=EOMONTH(U$7,0),$D47&gt;=U$7),"■",""))</f>
        <v/>
      </c>
      <c r="V47" s="31">
        <f>IF(OR($C47="",$D47="",V$7=""),"",IF(AND($C47&lt;=EOMONTH(V$7,0),$D47&gt;=V$7),"■",""))</f>
        <v/>
      </c>
      <c r="W47" s="31">
        <f>IF(OR($C47="",$D47="",W$7=""),"",IF(AND($C47&lt;=EOMONTH(W$7,0),$D47&gt;=W$7),"■",""))</f>
        <v/>
      </c>
      <c r="X47" s="31">
        <f>IF(OR($C47="",$D47="",X$7=""),"",IF(AND($C47&lt;=EOMONTH(X$7,0),$D47&gt;=X$7),"■",""))</f>
        <v/>
      </c>
      <c r="Y47" s="31">
        <f>IF(OR($C47="",$D47="",Y$7=""),"",IF(AND($C47&lt;=EOMONTH(Y$7,0),$D47&gt;=Y$7),"■",""))</f>
        <v/>
      </c>
      <c r="Z47" s="31">
        <f>IF(OR($C47="",$D47="",Z$7=""),"",IF(AND($C47&lt;=EOMONTH(Z$7,0),$D47&gt;=Z$7),"■",""))</f>
        <v/>
      </c>
    </row>
    <row r="48">
      <c r="A48" s="20" t="n"/>
      <c r="B48" s="20" t="n"/>
      <c r="C48" s="30" t="n"/>
      <c r="D48" s="30" t="n"/>
      <c r="E48" s="21">
        <f>IF(OR(C48="",D48=""),"",D48-C48+1)</f>
        <v/>
      </c>
      <c r="F48" s="20" t="n"/>
      <c r="G48" s="20" t="n"/>
      <c r="H48" s="21">
        <f>IF(A48="","",IF(IF(A48="","",IF(OR(C48="",D48=""),"🟡 Falta data. ",IF(D48&lt;C48,"🔴 Fim antes do início. ","")&amp;IF(OR(AND($B$3&lt;&gt;"",C48&lt;$B$3),AND($B$4&lt;&gt;"",D48&gt;$B$4)),"🔴 Fora do período do projeto. ",""))&amp;IF(B48="","🟡 Informe a etapa. ",IF(COUNTIF('ORÇAMENTO'!$A$8:$A$207,B48)=0,"🟡 Etapa sem despesa no orçamento: quem paga? ",""))&amp;IF(F48="","🟡 Sem responsável. ",""))="","🟢 OK",IF(A48="","",IF(OR(C48="",D48=""),"🟡 Falta data. ",IF(D48&lt;C48,"🔴 Fim antes do início. ","")&amp;IF(OR(AND($B$3&lt;&gt;"",C48&lt;$B$3),AND($B$4&lt;&gt;"",D48&gt;$B$4)),"🔴 Fora do período do projeto. ",""))&amp;IF(B48="","🟡 Informe a etapa. ",IF(COUNTIF('ORÇAMENTO'!$A$8:$A$207,B48)=0,"🟡 Etapa sem despesa no orçamento: quem paga? ",""))&amp;IF(F48="","🟡 Sem responsável. ",""))))</f>
        <v/>
      </c>
      <c r="I48" s="31">
        <f>IF(OR($C48="",$D48="",I$7=""),"",IF(AND($C48&lt;=EOMONTH(I$7,0),$D48&gt;=I$7),"■",""))</f>
        <v/>
      </c>
      <c r="J48" s="31">
        <f>IF(OR($C48="",$D48="",J$7=""),"",IF(AND($C48&lt;=EOMONTH(J$7,0),$D48&gt;=J$7),"■",""))</f>
        <v/>
      </c>
      <c r="K48" s="31">
        <f>IF(OR($C48="",$D48="",K$7=""),"",IF(AND($C48&lt;=EOMONTH(K$7,0),$D48&gt;=K$7),"■",""))</f>
        <v/>
      </c>
      <c r="L48" s="31">
        <f>IF(OR($C48="",$D48="",L$7=""),"",IF(AND($C48&lt;=EOMONTH(L$7,0),$D48&gt;=L$7),"■",""))</f>
        <v/>
      </c>
      <c r="M48" s="31">
        <f>IF(OR($C48="",$D48="",M$7=""),"",IF(AND($C48&lt;=EOMONTH(M$7,0),$D48&gt;=M$7),"■",""))</f>
        <v/>
      </c>
      <c r="N48" s="31">
        <f>IF(OR($C48="",$D48="",N$7=""),"",IF(AND($C48&lt;=EOMONTH(N$7,0),$D48&gt;=N$7),"■",""))</f>
        <v/>
      </c>
      <c r="O48" s="31">
        <f>IF(OR($C48="",$D48="",O$7=""),"",IF(AND($C48&lt;=EOMONTH(O$7,0),$D48&gt;=O$7),"■",""))</f>
        <v/>
      </c>
      <c r="P48" s="31">
        <f>IF(OR($C48="",$D48="",P$7=""),"",IF(AND($C48&lt;=EOMONTH(P$7,0),$D48&gt;=P$7),"■",""))</f>
        <v/>
      </c>
      <c r="Q48" s="31">
        <f>IF(OR($C48="",$D48="",Q$7=""),"",IF(AND($C48&lt;=EOMONTH(Q$7,0),$D48&gt;=Q$7),"■",""))</f>
        <v/>
      </c>
      <c r="R48" s="31">
        <f>IF(OR($C48="",$D48="",R$7=""),"",IF(AND($C48&lt;=EOMONTH(R$7,0),$D48&gt;=R$7),"■",""))</f>
        <v/>
      </c>
      <c r="S48" s="31">
        <f>IF(OR($C48="",$D48="",S$7=""),"",IF(AND($C48&lt;=EOMONTH(S$7,0),$D48&gt;=S$7),"■",""))</f>
        <v/>
      </c>
      <c r="T48" s="31">
        <f>IF(OR($C48="",$D48="",T$7=""),"",IF(AND($C48&lt;=EOMONTH(T$7,0),$D48&gt;=T$7),"■",""))</f>
        <v/>
      </c>
      <c r="U48" s="31">
        <f>IF(OR($C48="",$D48="",U$7=""),"",IF(AND($C48&lt;=EOMONTH(U$7,0),$D48&gt;=U$7),"■",""))</f>
        <v/>
      </c>
      <c r="V48" s="31">
        <f>IF(OR($C48="",$D48="",V$7=""),"",IF(AND($C48&lt;=EOMONTH(V$7,0),$D48&gt;=V$7),"■",""))</f>
        <v/>
      </c>
      <c r="W48" s="31">
        <f>IF(OR($C48="",$D48="",W$7=""),"",IF(AND($C48&lt;=EOMONTH(W$7,0),$D48&gt;=W$7),"■",""))</f>
        <v/>
      </c>
      <c r="X48" s="31">
        <f>IF(OR($C48="",$D48="",X$7=""),"",IF(AND($C48&lt;=EOMONTH(X$7,0),$D48&gt;=X$7),"■",""))</f>
        <v/>
      </c>
      <c r="Y48" s="31">
        <f>IF(OR($C48="",$D48="",Y$7=""),"",IF(AND($C48&lt;=EOMONTH(Y$7,0),$D48&gt;=Y$7),"■",""))</f>
        <v/>
      </c>
      <c r="Z48" s="31">
        <f>IF(OR($C48="",$D48="",Z$7=""),"",IF(AND($C48&lt;=EOMONTH(Z$7,0),$D48&gt;=Z$7),"■",""))</f>
        <v/>
      </c>
    </row>
    <row r="49">
      <c r="A49" s="20" t="n"/>
      <c r="B49" s="20" t="n"/>
      <c r="C49" s="30" t="n"/>
      <c r="D49" s="30" t="n"/>
      <c r="E49" s="21">
        <f>IF(OR(C49="",D49=""),"",D49-C49+1)</f>
        <v/>
      </c>
      <c r="F49" s="20" t="n"/>
      <c r="G49" s="20" t="n"/>
      <c r="H49" s="21">
        <f>IF(A49="","",IF(IF(A49="","",IF(OR(C49="",D49=""),"🟡 Falta data. ",IF(D49&lt;C49,"🔴 Fim antes do início. ","")&amp;IF(OR(AND($B$3&lt;&gt;"",C49&lt;$B$3),AND($B$4&lt;&gt;"",D49&gt;$B$4)),"🔴 Fora do período do projeto. ",""))&amp;IF(B49="","🟡 Informe a etapa. ",IF(COUNTIF('ORÇAMENTO'!$A$8:$A$207,B49)=0,"🟡 Etapa sem despesa no orçamento: quem paga? ",""))&amp;IF(F49="","🟡 Sem responsável. ",""))="","🟢 OK",IF(A49="","",IF(OR(C49="",D49=""),"🟡 Falta data. ",IF(D49&lt;C49,"🔴 Fim antes do início. ","")&amp;IF(OR(AND($B$3&lt;&gt;"",C49&lt;$B$3),AND($B$4&lt;&gt;"",D49&gt;$B$4)),"🔴 Fora do período do projeto. ",""))&amp;IF(B49="","🟡 Informe a etapa. ",IF(COUNTIF('ORÇAMENTO'!$A$8:$A$207,B49)=0,"🟡 Etapa sem despesa no orçamento: quem paga? ",""))&amp;IF(F49="","🟡 Sem responsável. ",""))))</f>
        <v/>
      </c>
      <c r="I49" s="31">
        <f>IF(OR($C49="",$D49="",I$7=""),"",IF(AND($C49&lt;=EOMONTH(I$7,0),$D49&gt;=I$7),"■",""))</f>
        <v/>
      </c>
      <c r="J49" s="31">
        <f>IF(OR($C49="",$D49="",J$7=""),"",IF(AND($C49&lt;=EOMONTH(J$7,0),$D49&gt;=J$7),"■",""))</f>
        <v/>
      </c>
      <c r="K49" s="31">
        <f>IF(OR($C49="",$D49="",K$7=""),"",IF(AND($C49&lt;=EOMONTH(K$7,0),$D49&gt;=K$7),"■",""))</f>
        <v/>
      </c>
      <c r="L49" s="31">
        <f>IF(OR($C49="",$D49="",L$7=""),"",IF(AND($C49&lt;=EOMONTH(L$7,0),$D49&gt;=L$7),"■",""))</f>
        <v/>
      </c>
      <c r="M49" s="31">
        <f>IF(OR($C49="",$D49="",M$7=""),"",IF(AND($C49&lt;=EOMONTH(M$7,0),$D49&gt;=M$7),"■",""))</f>
        <v/>
      </c>
      <c r="N49" s="31">
        <f>IF(OR($C49="",$D49="",N$7=""),"",IF(AND($C49&lt;=EOMONTH(N$7,0),$D49&gt;=N$7),"■",""))</f>
        <v/>
      </c>
      <c r="O49" s="31">
        <f>IF(OR($C49="",$D49="",O$7=""),"",IF(AND($C49&lt;=EOMONTH(O$7,0),$D49&gt;=O$7),"■",""))</f>
        <v/>
      </c>
      <c r="P49" s="31">
        <f>IF(OR($C49="",$D49="",P$7=""),"",IF(AND($C49&lt;=EOMONTH(P$7,0),$D49&gt;=P$7),"■",""))</f>
        <v/>
      </c>
      <c r="Q49" s="31">
        <f>IF(OR($C49="",$D49="",Q$7=""),"",IF(AND($C49&lt;=EOMONTH(Q$7,0),$D49&gt;=Q$7),"■",""))</f>
        <v/>
      </c>
      <c r="R49" s="31">
        <f>IF(OR($C49="",$D49="",R$7=""),"",IF(AND($C49&lt;=EOMONTH(R$7,0),$D49&gt;=R$7),"■",""))</f>
        <v/>
      </c>
      <c r="S49" s="31">
        <f>IF(OR($C49="",$D49="",S$7=""),"",IF(AND($C49&lt;=EOMONTH(S$7,0),$D49&gt;=S$7),"■",""))</f>
        <v/>
      </c>
      <c r="T49" s="31">
        <f>IF(OR($C49="",$D49="",T$7=""),"",IF(AND($C49&lt;=EOMONTH(T$7,0),$D49&gt;=T$7),"■",""))</f>
        <v/>
      </c>
      <c r="U49" s="31">
        <f>IF(OR($C49="",$D49="",U$7=""),"",IF(AND($C49&lt;=EOMONTH(U$7,0),$D49&gt;=U$7),"■",""))</f>
        <v/>
      </c>
      <c r="V49" s="31">
        <f>IF(OR($C49="",$D49="",V$7=""),"",IF(AND($C49&lt;=EOMONTH(V$7,0),$D49&gt;=V$7),"■",""))</f>
        <v/>
      </c>
      <c r="W49" s="31">
        <f>IF(OR($C49="",$D49="",W$7=""),"",IF(AND($C49&lt;=EOMONTH(W$7,0),$D49&gt;=W$7),"■",""))</f>
        <v/>
      </c>
      <c r="X49" s="31">
        <f>IF(OR($C49="",$D49="",X$7=""),"",IF(AND($C49&lt;=EOMONTH(X$7,0),$D49&gt;=X$7),"■",""))</f>
        <v/>
      </c>
      <c r="Y49" s="31">
        <f>IF(OR($C49="",$D49="",Y$7=""),"",IF(AND($C49&lt;=EOMONTH(Y$7,0),$D49&gt;=Y$7),"■",""))</f>
        <v/>
      </c>
      <c r="Z49" s="31">
        <f>IF(OR($C49="",$D49="",Z$7=""),"",IF(AND($C49&lt;=EOMONTH(Z$7,0),$D49&gt;=Z$7),"■",""))</f>
        <v/>
      </c>
    </row>
    <row r="50">
      <c r="A50" s="20" t="n"/>
      <c r="B50" s="20" t="n"/>
      <c r="C50" s="30" t="n"/>
      <c r="D50" s="30" t="n"/>
      <c r="E50" s="21">
        <f>IF(OR(C50="",D50=""),"",D50-C50+1)</f>
        <v/>
      </c>
      <c r="F50" s="20" t="n"/>
      <c r="G50" s="20" t="n"/>
      <c r="H50" s="21">
        <f>IF(A50="","",IF(IF(A50="","",IF(OR(C50="",D50=""),"🟡 Falta data. ",IF(D50&lt;C50,"🔴 Fim antes do início. ","")&amp;IF(OR(AND($B$3&lt;&gt;"",C50&lt;$B$3),AND($B$4&lt;&gt;"",D50&gt;$B$4)),"🔴 Fora do período do projeto. ",""))&amp;IF(B50="","🟡 Informe a etapa. ",IF(COUNTIF('ORÇAMENTO'!$A$8:$A$207,B50)=0,"🟡 Etapa sem despesa no orçamento: quem paga? ",""))&amp;IF(F50="","🟡 Sem responsável. ",""))="","🟢 OK",IF(A50="","",IF(OR(C50="",D50=""),"🟡 Falta data. ",IF(D50&lt;C50,"🔴 Fim antes do início. ","")&amp;IF(OR(AND($B$3&lt;&gt;"",C50&lt;$B$3),AND($B$4&lt;&gt;"",D50&gt;$B$4)),"🔴 Fora do período do projeto. ",""))&amp;IF(B50="","🟡 Informe a etapa. ",IF(COUNTIF('ORÇAMENTO'!$A$8:$A$207,B50)=0,"🟡 Etapa sem despesa no orçamento: quem paga? ",""))&amp;IF(F50="","🟡 Sem responsável. ",""))))</f>
        <v/>
      </c>
      <c r="I50" s="31">
        <f>IF(OR($C50="",$D50="",I$7=""),"",IF(AND($C50&lt;=EOMONTH(I$7,0),$D50&gt;=I$7),"■",""))</f>
        <v/>
      </c>
      <c r="J50" s="31">
        <f>IF(OR($C50="",$D50="",J$7=""),"",IF(AND($C50&lt;=EOMONTH(J$7,0),$D50&gt;=J$7),"■",""))</f>
        <v/>
      </c>
      <c r="K50" s="31">
        <f>IF(OR($C50="",$D50="",K$7=""),"",IF(AND($C50&lt;=EOMONTH(K$7,0),$D50&gt;=K$7),"■",""))</f>
        <v/>
      </c>
      <c r="L50" s="31">
        <f>IF(OR($C50="",$D50="",L$7=""),"",IF(AND($C50&lt;=EOMONTH(L$7,0),$D50&gt;=L$7),"■",""))</f>
        <v/>
      </c>
      <c r="M50" s="31">
        <f>IF(OR($C50="",$D50="",M$7=""),"",IF(AND($C50&lt;=EOMONTH(M$7,0),$D50&gt;=M$7),"■",""))</f>
        <v/>
      </c>
      <c r="N50" s="31">
        <f>IF(OR($C50="",$D50="",N$7=""),"",IF(AND($C50&lt;=EOMONTH(N$7,0),$D50&gt;=N$7),"■",""))</f>
        <v/>
      </c>
      <c r="O50" s="31">
        <f>IF(OR($C50="",$D50="",O$7=""),"",IF(AND($C50&lt;=EOMONTH(O$7,0),$D50&gt;=O$7),"■",""))</f>
        <v/>
      </c>
      <c r="P50" s="31">
        <f>IF(OR($C50="",$D50="",P$7=""),"",IF(AND($C50&lt;=EOMONTH(P$7,0),$D50&gt;=P$7),"■",""))</f>
        <v/>
      </c>
      <c r="Q50" s="31">
        <f>IF(OR($C50="",$D50="",Q$7=""),"",IF(AND($C50&lt;=EOMONTH(Q$7,0),$D50&gt;=Q$7),"■",""))</f>
        <v/>
      </c>
      <c r="R50" s="31">
        <f>IF(OR($C50="",$D50="",R$7=""),"",IF(AND($C50&lt;=EOMONTH(R$7,0),$D50&gt;=R$7),"■",""))</f>
        <v/>
      </c>
      <c r="S50" s="31">
        <f>IF(OR($C50="",$D50="",S$7=""),"",IF(AND($C50&lt;=EOMONTH(S$7,0),$D50&gt;=S$7),"■",""))</f>
        <v/>
      </c>
      <c r="T50" s="31">
        <f>IF(OR($C50="",$D50="",T$7=""),"",IF(AND($C50&lt;=EOMONTH(T$7,0),$D50&gt;=T$7),"■",""))</f>
        <v/>
      </c>
      <c r="U50" s="31">
        <f>IF(OR($C50="",$D50="",U$7=""),"",IF(AND($C50&lt;=EOMONTH(U$7,0),$D50&gt;=U$7),"■",""))</f>
        <v/>
      </c>
      <c r="V50" s="31">
        <f>IF(OR($C50="",$D50="",V$7=""),"",IF(AND($C50&lt;=EOMONTH(V$7,0),$D50&gt;=V$7),"■",""))</f>
        <v/>
      </c>
      <c r="W50" s="31">
        <f>IF(OR($C50="",$D50="",W$7=""),"",IF(AND($C50&lt;=EOMONTH(W$7,0),$D50&gt;=W$7),"■",""))</f>
        <v/>
      </c>
      <c r="X50" s="31">
        <f>IF(OR($C50="",$D50="",X$7=""),"",IF(AND($C50&lt;=EOMONTH(X$7,0),$D50&gt;=X$7),"■",""))</f>
        <v/>
      </c>
      <c r="Y50" s="31">
        <f>IF(OR($C50="",$D50="",Y$7=""),"",IF(AND($C50&lt;=EOMONTH(Y$7,0),$D50&gt;=Y$7),"■",""))</f>
        <v/>
      </c>
      <c r="Z50" s="31">
        <f>IF(OR($C50="",$D50="",Z$7=""),"",IF(AND($C50&lt;=EOMONTH(Z$7,0),$D50&gt;=Z$7),"■",""))</f>
        <v/>
      </c>
    </row>
    <row r="51">
      <c r="A51" s="20" t="n"/>
      <c r="B51" s="20" t="n"/>
      <c r="C51" s="30" t="n"/>
      <c r="D51" s="30" t="n"/>
      <c r="E51" s="21">
        <f>IF(OR(C51="",D51=""),"",D51-C51+1)</f>
        <v/>
      </c>
      <c r="F51" s="20" t="n"/>
      <c r="G51" s="20" t="n"/>
      <c r="H51" s="21">
        <f>IF(A51="","",IF(IF(A51="","",IF(OR(C51="",D51=""),"🟡 Falta data. ",IF(D51&lt;C51,"🔴 Fim antes do início. ","")&amp;IF(OR(AND($B$3&lt;&gt;"",C51&lt;$B$3),AND($B$4&lt;&gt;"",D51&gt;$B$4)),"🔴 Fora do período do projeto. ",""))&amp;IF(B51="","🟡 Informe a etapa. ",IF(COUNTIF('ORÇAMENTO'!$A$8:$A$207,B51)=0,"🟡 Etapa sem despesa no orçamento: quem paga? ",""))&amp;IF(F51="","🟡 Sem responsável. ",""))="","🟢 OK",IF(A51="","",IF(OR(C51="",D51=""),"🟡 Falta data. ",IF(D51&lt;C51,"🔴 Fim antes do início. ","")&amp;IF(OR(AND($B$3&lt;&gt;"",C51&lt;$B$3),AND($B$4&lt;&gt;"",D51&gt;$B$4)),"🔴 Fora do período do projeto. ",""))&amp;IF(B51="","🟡 Informe a etapa. ",IF(COUNTIF('ORÇAMENTO'!$A$8:$A$207,B51)=0,"🟡 Etapa sem despesa no orçamento: quem paga? ",""))&amp;IF(F51="","🟡 Sem responsável. ",""))))</f>
        <v/>
      </c>
      <c r="I51" s="31">
        <f>IF(OR($C51="",$D51="",I$7=""),"",IF(AND($C51&lt;=EOMONTH(I$7,0),$D51&gt;=I$7),"■",""))</f>
        <v/>
      </c>
      <c r="J51" s="31">
        <f>IF(OR($C51="",$D51="",J$7=""),"",IF(AND($C51&lt;=EOMONTH(J$7,0),$D51&gt;=J$7),"■",""))</f>
        <v/>
      </c>
      <c r="K51" s="31">
        <f>IF(OR($C51="",$D51="",K$7=""),"",IF(AND($C51&lt;=EOMONTH(K$7,0),$D51&gt;=K$7),"■",""))</f>
        <v/>
      </c>
      <c r="L51" s="31">
        <f>IF(OR($C51="",$D51="",L$7=""),"",IF(AND($C51&lt;=EOMONTH(L$7,0),$D51&gt;=L$7),"■",""))</f>
        <v/>
      </c>
      <c r="M51" s="31">
        <f>IF(OR($C51="",$D51="",M$7=""),"",IF(AND($C51&lt;=EOMONTH(M$7,0),$D51&gt;=M$7),"■",""))</f>
        <v/>
      </c>
      <c r="N51" s="31">
        <f>IF(OR($C51="",$D51="",N$7=""),"",IF(AND($C51&lt;=EOMONTH(N$7,0),$D51&gt;=N$7),"■",""))</f>
        <v/>
      </c>
      <c r="O51" s="31">
        <f>IF(OR($C51="",$D51="",O$7=""),"",IF(AND($C51&lt;=EOMONTH(O$7,0),$D51&gt;=O$7),"■",""))</f>
        <v/>
      </c>
      <c r="P51" s="31">
        <f>IF(OR($C51="",$D51="",P$7=""),"",IF(AND($C51&lt;=EOMONTH(P$7,0),$D51&gt;=P$7),"■",""))</f>
        <v/>
      </c>
      <c r="Q51" s="31">
        <f>IF(OR($C51="",$D51="",Q$7=""),"",IF(AND($C51&lt;=EOMONTH(Q$7,0),$D51&gt;=Q$7),"■",""))</f>
        <v/>
      </c>
      <c r="R51" s="31">
        <f>IF(OR($C51="",$D51="",R$7=""),"",IF(AND($C51&lt;=EOMONTH(R$7,0),$D51&gt;=R$7),"■",""))</f>
        <v/>
      </c>
      <c r="S51" s="31">
        <f>IF(OR($C51="",$D51="",S$7=""),"",IF(AND($C51&lt;=EOMONTH(S$7,0),$D51&gt;=S$7),"■",""))</f>
        <v/>
      </c>
      <c r="T51" s="31">
        <f>IF(OR($C51="",$D51="",T$7=""),"",IF(AND($C51&lt;=EOMONTH(T$7,0),$D51&gt;=T$7),"■",""))</f>
        <v/>
      </c>
      <c r="U51" s="31">
        <f>IF(OR($C51="",$D51="",U$7=""),"",IF(AND($C51&lt;=EOMONTH(U$7,0),$D51&gt;=U$7),"■",""))</f>
        <v/>
      </c>
      <c r="V51" s="31">
        <f>IF(OR($C51="",$D51="",V$7=""),"",IF(AND($C51&lt;=EOMONTH(V$7,0),$D51&gt;=V$7),"■",""))</f>
        <v/>
      </c>
      <c r="W51" s="31">
        <f>IF(OR($C51="",$D51="",W$7=""),"",IF(AND($C51&lt;=EOMONTH(W$7,0),$D51&gt;=W$7),"■",""))</f>
        <v/>
      </c>
      <c r="X51" s="31">
        <f>IF(OR($C51="",$D51="",X$7=""),"",IF(AND($C51&lt;=EOMONTH(X$7,0),$D51&gt;=X$7),"■",""))</f>
        <v/>
      </c>
      <c r="Y51" s="31">
        <f>IF(OR($C51="",$D51="",Y$7=""),"",IF(AND($C51&lt;=EOMONTH(Y$7,0),$D51&gt;=Y$7),"■",""))</f>
        <v/>
      </c>
      <c r="Z51" s="31">
        <f>IF(OR($C51="",$D51="",Z$7=""),"",IF(AND($C51&lt;=EOMONTH(Z$7,0),$D51&gt;=Z$7),"■",""))</f>
        <v/>
      </c>
    </row>
    <row r="52">
      <c r="A52" s="20" t="n"/>
      <c r="B52" s="20" t="n"/>
      <c r="C52" s="30" t="n"/>
      <c r="D52" s="30" t="n"/>
      <c r="E52" s="21">
        <f>IF(OR(C52="",D52=""),"",D52-C52+1)</f>
        <v/>
      </c>
      <c r="F52" s="20" t="n"/>
      <c r="G52" s="20" t="n"/>
      <c r="H52" s="21">
        <f>IF(A52="","",IF(IF(A52="","",IF(OR(C52="",D52=""),"🟡 Falta data. ",IF(D52&lt;C52,"🔴 Fim antes do início. ","")&amp;IF(OR(AND($B$3&lt;&gt;"",C52&lt;$B$3),AND($B$4&lt;&gt;"",D52&gt;$B$4)),"🔴 Fora do período do projeto. ",""))&amp;IF(B52="","🟡 Informe a etapa. ",IF(COUNTIF('ORÇAMENTO'!$A$8:$A$207,B52)=0,"🟡 Etapa sem despesa no orçamento: quem paga? ",""))&amp;IF(F52="","🟡 Sem responsável. ",""))="","🟢 OK",IF(A52="","",IF(OR(C52="",D52=""),"🟡 Falta data. ",IF(D52&lt;C52,"🔴 Fim antes do início. ","")&amp;IF(OR(AND($B$3&lt;&gt;"",C52&lt;$B$3),AND($B$4&lt;&gt;"",D52&gt;$B$4)),"🔴 Fora do período do projeto. ",""))&amp;IF(B52="","🟡 Informe a etapa. ",IF(COUNTIF('ORÇAMENTO'!$A$8:$A$207,B52)=0,"🟡 Etapa sem despesa no orçamento: quem paga? ",""))&amp;IF(F52="","🟡 Sem responsável. ",""))))</f>
        <v/>
      </c>
      <c r="I52" s="31">
        <f>IF(OR($C52="",$D52="",I$7=""),"",IF(AND($C52&lt;=EOMONTH(I$7,0),$D52&gt;=I$7),"■",""))</f>
        <v/>
      </c>
      <c r="J52" s="31">
        <f>IF(OR($C52="",$D52="",J$7=""),"",IF(AND($C52&lt;=EOMONTH(J$7,0),$D52&gt;=J$7),"■",""))</f>
        <v/>
      </c>
      <c r="K52" s="31">
        <f>IF(OR($C52="",$D52="",K$7=""),"",IF(AND($C52&lt;=EOMONTH(K$7,0),$D52&gt;=K$7),"■",""))</f>
        <v/>
      </c>
      <c r="L52" s="31">
        <f>IF(OR($C52="",$D52="",L$7=""),"",IF(AND($C52&lt;=EOMONTH(L$7,0),$D52&gt;=L$7),"■",""))</f>
        <v/>
      </c>
      <c r="M52" s="31">
        <f>IF(OR($C52="",$D52="",M$7=""),"",IF(AND($C52&lt;=EOMONTH(M$7,0),$D52&gt;=M$7),"■",""))</f>
        <v/>
      </c>
      <c r="N52" s="31">
        <f>IF(OR($C52="",$D52="",N$7=""),"",IF(AND($C52&lt;=EOMONTH(N$7,0),$D52&gt;=N$7),"■",""))</f>
        <v/>
      </c>
      <c r="O52" s="31">
        <f>IF(OR($C52="",$D52="",O$7=""),"",IF(AND($C52&lt;=EOMONTH(O$7,0),$D52&gt;=O$7),"■",""))</f>
        <v/>
      </c>
      <c r="P52" s="31">
        <f>IF(OR($C52="",$D52="",P$7=""),"",IF(AND($C52&lt;=EOMONTH(P$7,0),$D52&gt;=P$7),"■",""))</f>
        <v/>
      </c>
      <c r="Q52" s="31">
        <f>IF(OR($C52="",$D52="",Q$7=""),"",IF(AND($C52&lt;=EOMONTH(Q$7,0),$D52&gt;=Q$7),"■",""))</f>
        <v/>
      </c>
      <c r="R52" s="31">
        <f>IF(OR($C52="",$D52="",R$7=""),"",IF(AND($C52&lt;=EOMONTH(R$7,0),$D52&gt;=R$7),"■",""))</f>
        <v/>
      </c>
      <c r="S52" s="31">
        <f>IF(OR($C52="",$D52="",S$7=""),"",IF(AND($C52&lt;=EOMONTH(S$7,0),$D52&gt;=S$7),"■",""))</f>
        <v/>
      </c>
      <c r="T52" s="31">
        <f>IF(OR($C52="",$D52="",T$7=""),"",IF(AND($C52&lt;=EOMONTH(T$7,0),$D52&gt;=T$7),"■",""))</f>
        <v/>
      </c>
      <c r="U52" s="31">
        <f>IF(OR($C52="",$D52="",U$7=""),"",IF(AND($C52&lt;=EOMONTH(U$7,0),$D52&gt;=U$7),"■",""))</f>
        <v/>
      </c>
      <c r="V52" s="31">
        <f>IF(OR($C52="",$D52="",V$7=""),"",IF(AND($C52&lt;=EOMONTH(V$7,0),$D52&gt;=V$7),"■",""))</f>
        <v/>
      </c>
      <c r="W52" s="31">
        <f>IF(OR($C52="",$D52="",W$7=""),"",IF(AND($C52&lt;=EOMONTH(W$7,0),$D52&gt;=W$7),"■",""))</f>
        <v/>
      </c>
      <c r="X52" s="31">
        <f>IF(OR($C52="",$D52="",X$7=""),"",IF(AND($C52&lt;=EOMONTH(X$7,0),$D52&gt;=X$7),"■",""))</f>
        <v/>
      </c>
      <c r="Y52" s="31">
        <f>IF(OR($C52="",$D52="",Y$7=""),"",IF(AND($C52&lt;=EOMONTH(Y$7,0),$D52&gt;=Y$7),"■",""))</f>
        <v/>
      </c>
      <c r="Z52" s="31">
        <f>IF(OR($C52="",$D52="",Z$7=""),"",IF(AND($C52&lt;=EOMONTH(Z$7,0),$D52&gt;=Z$7),"■",""))</f>
        <v/>
      </c>
    </row>
    <row r="53">
      <c r="A53" s="20" t="n"/>
      <c r="B53" s="20" t="n"/>
      <c r="C53" s="30" t="n"/>
      <c r="D53" s="30" t="n"/>
      <c r="E53" s="21">
        <f>IF(OR(C53="",D53=""),"",D53-C53+1)</f>
        <v/>
      </c>
      <c r="F53" s="20" t="n"/>
      <c r="G53" s="20" t="n"/>
      <c r="H53" s="21">
        <f>IF(A53="","",IF(IF(A53="","",IF(OR(C53="",D53=""),"🟡 Falta data. ",IF(D53&lt;C53,"🔴 Fim antes do início. ","")&amp;IF(OR(AND($B$3&lt;&gt;"",C53&lt;$B$3),AND($B$4&lt;&gt;"",D53&gt;$B$4)),"🔴 Fora do período do projeto. ",""))&amp;IF(B53="","🟡 Informe a etapa. ",IF(COUNTIF('ORÇAMENTO'!$A$8:$A$207,B53)=0,"🟡 Etapa sem despesa no orçamento: quem paga? ",""))&amp;IF(F53="","🟡 Sem responsável. ",""))="","🟢 OK",IF(A53="","",IF(OR(C53="",D53=""),"🟡 Falta data. ",IF(D53&lt;C53,"🔴 Fim antes do início. ","")&amp;IF(OR(AND($B$3&lt;&gt;"",C53&lt;$B$3),AND($B$4&lt;&gt;"",D53&gt;$B$4)),"🔴 Fora do período do projeto. ",""))&amp;IF(B53="","🟡 Informe a etapa. ",IF(COUNTIF('ORÇAMENTO'!$A$8:$A$207,B53)=0,"🟡 Etapa sem despesa no orçamento: quem paga? ",""))&amp;IF(F53="","🟡 Sem responsável. ",""))))</f>
        <v/>
      </c>
      <c r="I53" s="31">
        <f>IF(OR($C53="",$D53="",I$7=""),"",IF(AND($C53&lt;=EOMONTH(I$7,0),$D53&gt;=I$7),"■",""))</f>
        <v/>
      </c>
      <c r="J53" s="31">
        <f>IF(OR($C53="",$D53="",J$7=""),"",IF(AND($C53&lt;=EOMONTH(J$7,0),$D53&gt;=J$7),"■",""))</f>
        <v/>
      </c>
      <c r="K53" s="31">
        <f>IF(OR($C53="",$D53="",K$7=""),"",IF(AND($C53&lt;=EOMONTH(K$7,0),$D53&gt;=K$7),"■",""))</f>
        <v/>
      </c>
      <c r="L53" s="31">
        <f>IF(OR($C53="",$D53="",L$7=""),"",IF(AND($C53&lt;=EOMONTH(L$7,0),$D53&gt;=L$7),"■",""))</f>
        <v/>
      </c>
      <c r="M53" s="31">
        <f>IF(OR($C53="",$D53="",M$7=""),"",IF(AND($C53&lt;=EOMONTH(M$7,0),$D53&gt;=M$7),"■",""))</f>
        <v/>
      </c>
      <c r="N53" s="31">
        <f>IF(OR($C53="",$D53="",N$7=""),"",IF(AND($C53&lt;=EOMONTH(N$7,0),$D53&gt;=N$7),"■",""))</f>
        <v/>
      </c>
      <c r="O53" s="31">
        <f>IF(OR($C53="",$D53="",O$7=""),"",IF(AND($C53&lt;=EOMONTH(O$7,0),$D53&gt;=O$7),"■",""))</f>
        <v/>
      </c>
      <c r="P53" s="31">
        <f>IF(OR($C53="",$D53="",P$7=""),"",IF(AND($C53&lt;=EOMONTH(P$7,0),$D53&gt;=P$7),"■",""))</f>
        <v/>
      </c>
      <c r="Q53" s="31">
        <f>IF(OR($C53="",$D53="",Q$7=""),"",IF(AND($C53&lt;=EOMONTH(Q$7,0),$D53&gt;=Q$7),"■",""))</f>
        <v/>
      </c>
      <c r="R53" s="31">
        <f>IF(OR($C53="",$D53="",R$7=""),"",IF(AND($C53&lt;=EOMONTH(R$7,0),$D53&gt;=R$7),"■",""))</f>
        <v/>
      </c>
      <c r="S53" s="31">
        <f>IF(OR($C53="",$D53="",S$7=""),"",IF(AND($C53&lt;=EOMONTH(S$7,0),$D53&gt;=S$7),"■",""))</f>
        <v/>
      </c>
      <c r="T53" s="31">
        <f>IF(OR($C53="",$D53="",T$7=""),"",IF(AND($C53&lt;=EOMONTH(T$7,0),$D53&gt;=T$7),"■",""))</f>
        <v/>
      </c>
      <c r="U53" s="31">
        <f>IF(OR($C53="",$D53="",U$7=""),"",IF(AND($C53&lt;=EOMONTH(U$7,0),$D53&gt;=U$7),"■",""))</f>
        <v/>
      </c>
      <c r="V53" s="31">
        <f>IF(OR($C53="",$D53="",V$7=""),"",IF(AND($C53&lt;=EOMONTH(V$7,0),$D53&gt;=V$7),"■",""))</f>
        <v/>
      </c>
      <c r="W53" s="31">
        <f>IF(OR($C53="",$D53="",W$7=""),"",IF(AND($C53&lt;=EOMONTH(W$7,0),$D53&gt;=W$7),"■",""))</f>
        <v/>
      </c>
      <c r="X53" s="31">
        <f>IF(OR($C53="",$D53="",X$7=""),"",IF(AND($C53&lt;=EOMONTH(X$7,0),$D53&gt;=X$7),"■",""))</f>
        <v/>
      </c>
      <c r="Y53" s="31">
        <f>IF(OR($C53="",$D53="",Y$7=""),"",IF(AND($C53&lt;=EOMONTH(Y$7,0),$D53&gt;=Y$7),"■",""))</f>
        <v/>
      </c>
      <c r="Z53" s="31">
        <f>IF(OR($C53="",$D53="",Z$7=""),"",IF(AND($C53&lt;=EOMONTH(Z$7,0),$D53&gt;=Z$7),"■",""))</f>
        <v/>
      </c>
    </row>
    <row r="54">
      <c r="A54" s="20" t="n"/>
      <c r="B54" s="20" t="n"/>
      <c r="C54" s="30" t="n"/>
      <c r="D54" s="30" t="n"/>
      <c r="E54" s="21">
        <f>IF(OR(C54="",D54=""),"",D54-C54+1)</f>
        <v/>
      </c>
      <c r="F54" s="20" t="n"/>
      <c r="G54" s="20" t="n"/>
      <c r="H54" s="21">
        <f>IF(A54="","",IF(IF(A54="","",IF(OR(C54="",D54=""),"🟡 Falta data. ",IF(D54&lt;C54,"🔴 Fim antes do início. ","")&amp;IF(OR(AND($B$3&lt;&gt;"",C54&lt;$B$3),AND($B$4&lt;&gt;"",D54&gt;$B$4)),"🔴 Fora do período do projeto. ",""))&amp;IF(B54="","🟡 Informe a etapa. ",IF(COUNTIF('ORÇAMENTO'!$A$8:$A$207,B54)=0,"🟡 Etapa sem despesa no orçamento: quem paga? ",""))&amp;IF(F54="","🟡 Sem responsável. ",""))="","🟢 OK",IF(A54="","",IF(OR(C54="",D54=""),"🟡 Falta data. ",IF(D54&lt;C54,"🔴 Fim antes do início. ","")&amp;IF(OR(AND($B$3&lt;&gt;"",C54&lt;$B$3),AND($B$4&lt;&gt;"",D54&gt;$B$4)),"🔴 Fora do período do projeto. ",""))&amp;IF(B54="","🟡 Informe a etapa. ",IF(COUNTIF('ORÇAMENTO'!$A$8:$A$207,B54)=0,"🟡 Etapa sem despesa no orçamento: quem paga? ",""))&amp;IF(F54="","🟡 Sem responsável. ",""))))</f>
        <v/>
      </c>
      <c r="I54" s="31">
        <f>IF(OR($C54="",$D54="",I$7=""),"",IF(AND($C54&lt;=EOMONTH(I$7,0),$D54&gt;=I$7),"■",""))</f>
        <v/>
      </c>
      <c r="J54" s="31">
        <f>IF(OR($C54="",$D54="",J$7=""),"",IF(AND($C54&lt;=EOMONTH(J$7,0),$D54&gt;=J$7),"■",""))</f>
        <v/>
      </c>
      <c r="K54" s="31">
        <f>IF(OR($C54="",$D54="",K$7=""),"",IF(AND($C54&lt;=EOMONTH(K$7,0),$D54&gt;=K$7),"■",""))</f>
        <v/>
      </c>
      <c r="L54" s="31">
        <f>IF(OR($C54="",$D54="",L$7=""),"",IF(AND($C54&lt;=EOMONTH(L$7,0),$D54&gt;=L$7),"■",""))</f>
        <v/>
      </c>
      <c r="M54" s="31">
        <f>IF(OR($C54="",$D54="",M$7=""),"",IF(AND($C54&lt;=EOMONTH(M$7,0),$D54&gt;=M$7),"■",""))</f>
        <v/>
      </c>
      <c r="N54" s="31">
        <f>IF(OR($C54="",$D54="",N$7=""),"",IF(AND($C54&lt;=EOMONTH(N$7,0),$D54&gt;=N$7),"■",""))</f>
        <v/>
      </c>
      <c r="O54" s="31">
        <f>IF(OR($C54="",$D54="",O$7=""),"",IF(AND($C54&lt;=EOMONTH(O$7,0),$D54&gt;=O$7),"■",""))</f>
        <v/>
      </c>
      <c r="P54" s="31">
        <f>IF(OR($C54="",$D54="",P$7=""),"",IF(AND($C54&lt;=EOMONTH(P$7,0),$D54&gt;=P$7),"■",""))</f>
        <v/>
      </c>
      <c r="Q54" s="31">
        <f>IF(OR($C54="",$D54="",Q$7=""),"",IF(AND($C54&lt;=EOMONTH(Q$7,0),$D54&gt;=Q$7),"■",""))</f>
        <v/>
      </c>
      <c r="R54" s="31">
        <f>IF(OR($C54="",$D54="",R$7=""),"",IF(AND($C54&lt;=EOMONTH(R$7,0),$D54&gt;=R$7),"■",""))</f>
        <v/>
      </c>
      <c r="S54" s="31">
        <f>IF(OR($C54="",$D54="",S$7=""),"",IF(AND($C54&lt;=EOMONTH(S$7,0),$D54&gt;=S$7),"■",""))</f>
        <v/>
      </c>
      <c r="T54" s="31">
        <f>IF(OR($C54="",$D54="",T$7=""),"",IF(AND($C54&lt;=EOMONTH(T$7,0),$D54&gt;=T$7),"■",""))</f>
        <v/>
      </c>
      <c r="U54" s="31">
        <f>IF(OR($C54="",$D54="",U$7=""),"",IF(AND($C54&lt;=EOMONTH(U$7,0),$D54&gt;=U$7),"■",""))</f>
        <v/>
      </c>
      <c r="V54" s="31">
        <f>IF(OR($C54="",$D54="",V$7=""),"",IF(AND($C54&lt;=EOMONTH(V$7,0),$D54&gt;=V$7),"■",""))</f>
        <v/>
      </c>
      <c r="W54" s="31">
        <f>IF(OR($C54="",$D54="",W$7=""),"",IF(AND($C54&lt;=EOMONTH(W$7,0),$D54&gt;=W$7),"■",""))</f>
        <v/>
      </c>
      <c r="X54" s="31">
        <f>IF(OR($C54="",$D54="",X$7=""),"",IF(AND($C54&lt;=EOMONTH(X$7,0),$D54&gt;=X$7),"■",""))</f>
        <v/>
      </c>
      <c r="Y54" s="31">
        <f>IF(OR($C54="",$D54="",Y$7=""),"",IF(AND($C54&lt;=EOMONTH(Y$7,0),$D54&gt;=Y$7),"■",""))</f>
        <v/>
      </c>
      <c r="Z54" s="31">
        <f>IF(OR($C54="",$D54="",Z$7=""),"",IF(AND($C54&lt;=EOMONTH(Z$7,0),$D54&gt;=Z$7),"■",""))</f>
        <v/>
      </c>
    </row>
    <row r="55">
      <c r="A55" s="20" t="n"/>
      <c r="B55" s="20" t="n"/>
      <c r="C55" s="30" t="n"/>
      <c r="D55" s="30" t="n"/>
      <c r="E55" s="21">
        <f>IF(OR(C55="",D55=""),"",D55-C55+1)</f>
        <v/>
      </c>
      <c r="F55" s="20" t="n"/>
      <c r="G55" s="20" t="n"/>
      <c r="H55" s="21">
        <f>IF(A55="","",IF(IF(A55="","",IF(OR(C55="",D55=""),"🟡 Falta data. ",IF(D55&lt;C55,"🔴 Fim antes do início. ","")&amp;IF(OR(AND($B$3&lt;&gt;"",C55&lt;$B$3),AND($B$4&lt;&gt;"",D55&gt;$B$4)),"🔴 Fora do período do projeto. ",""))&amp;IF(B55="","🟡 Informe a etapa. ",IF(COUNTIF('ORÇAMENTO'!$A$8:$A$207,B55)=0,"🟡 Etapa sem despesa no orçamento: quem paga? ",""))&amp;IF(F55="","🟡 Sem responsável. ",""))="","🟢 OK",IF(A55="","",IF(OR(C55="",D55=""),"🟡 Falta data. ",IF(D55&lt;C55,"🔴 Fim antes do início. ","")&amp;IF(OR(AND($B$3&lt;&gt;"",C55&lt;$B$3),AND($B$4&lt;&gt;"",D55&gt;$B$4)),"🔴 Fora do período do projeto. ",""))&amp;IF(B55="","🟡 Informe a etapa. ",IF(COUNTIF('ORÇAMENTO'!$A$8:$A$207,B55)=0,"🟡 Etapa sem despesa no orçamento: quem paga? ",""))&amp;IF(F55="","🟡 Sem responsável. ",""))))</f>
        <v/>
      </c>
      <c r="I55" s="31">
        <f>IF(OR($C55="",$D55="",I$7=""),"",IF(AND($C55&lt;=EOMONTH(I$7,0),$D55&gt;=I$7),"■",""))</f>
        <v/>
      </c>
      <c r="J55" s="31">
        <f>IF(OR($C55="",$D55="",J$7=""),"",IF(AND($C55&lt;=EOMONTH(J$7,0),$D55&gt;=J$7),"■",""))</f>
        <v/>
      </c>
      <c r="K55" s="31">
        <f>IF(OR($C55="",$D55="",K$7=""),"",IF(AND($C55&lt;=EOMONTH(K$7,0),$D55&gt;=K$7),"■",""))</f>
        <v/>
      </c>
      <c r="L55" s="31">
        <f>IF(OR($C55="",$D55="",L$7=""),"",IF(AND($C55&lt;=EOMONTH(L$7,0),$D55&gt;=L$7),"■",""))</f>
        <v/>
      </c>
      <c r="M55" s="31">
        <f>IF(OR($C55="",$D55="",M$7=""),"",IF(AND($C55&lt;=EOMONTH(M$7,0),$D55&gt;=M$7),"■",""))</f>
        <v/>
      </c>
      <c r="N55" s="31">
        <f>IF(OR($C55="",$D55="",N$7=""),"",IF(AND($C55&lt;=EOMONTH(N$7,0),$D55&gt;=N$7),"■",""))</f>
        <v/>
      </c>
      <c r="O55" s="31">
        <f>IF(OR($C55="",$D55="",O$7=""),"",IF(AND($C55&lt;=EOMONTH(O$7,0),$D55&gt;=O$7),"■",""))</f>
        <v/>
      </c>
      <c r="P55" s="31">
        <f>IF(OR($C55="",$D55="",P$7=""),"",IF(AND($C55&lt;=EOMONTH(P$7,0),$D55&gt;=P$7),"■",""))</f>
        <v/>
      </c>
      <c r="Q55" s="31">
        <f>IF(OR($C55="",$D55="",Q$7=""),"",IF(AND($C55&lt;=EOMONTH(Q$7,0),$D55&gt;=Q$7),"■",""))</f>
        <v/>
      </c>
      <c r="R55" s="31">
        <f>IF(OR($C55="",$D55="",R$7=""),"",IF(AND($C55&lt;=EOMONTH(R$7,0),$D55&gt;=R$7),"■",""))</f>
        <v/>
      </c>
      <c r="S55" s="31">
        <f>IF(OR($C55="",$D55="",S$7=""),"",IF(AND($C55&lt;=EOMONTH(S$7,0),$D55&gt;=S$7),"■",""))</f>
        <v/>
      </c>
      <c r="T55" s="31">
        <f>IF(OR($C55="",$D55="",T$7=""),"",IF(AND($C55&lt;=EOMONTH(T$7,0),$D55&gt;=T$7),"■",""))</f>
        <v/>
      </c>
      <c r="U55" s="31">
        <f>IF(OR($C55="",$D55="",U$7=""),"",IF(AND($C55&lt;=EOMONTH(U$7,0),$D55&gt;=U$7),"■",""))</f>
        <v/>
      </c>
      <c r="V55" s="31">
        <f>IF(OR($C55="",$D55="",V$7=""),"",IF(AND($C55&lt;=EOMONTH(V$7,0),$D55&gt;=V$7),"■",""))</f>
        <v/>
      </c>
      <c r="W55" s="31">
        <f>IF(OR($C55="",$D55="",W$7=""),"",IF(AND($C55&lt;=EOMONTH(W$7,0),$D55&gt;=W$7),"■",""))</f>
        <v/>
      </c>
      <c r="X55" s="31">
        <f>IF(OR($C55="",$D55="",X$7=""),"",IF(AND($C55&lt;=EOMONTH(X$7,0),$D55&gt;=X$7),"■",""))</f>
        <v/>
      </c>
      <c r="Y55" s="31">
        <f>IF(OR($C55="",$D55="",Y$7=""),"",IF(AND($C55&lt;=EOMONTH(Y$7,0),$D55&gt;=Y$7),"■",""))</f>
        <v/>
      </c>
      <c r="Z55" s="31">
        <f>IF(OR($C55="",$D55="",Z$7=""),"",IF(AND($C55&lt;=EOMONTH(Z$7,0),$D55&gt;=Z$7),"■",""))</f>
        <v/>
      </c>
    </row>
    <row r="56">
      <c r="A56" s="20" t="n"/>
      <c r="B56" s="20" t="n"/>
      <c r="C56" s="30" t="n"/>
      <c r="D56" s="30" t="n"/>
      <c r="E56" s="21">
        <f>IF(OR(C56="",D56=""),"",D56-C56+1)</f>
        <v/>
      </c>
      <c r="F56" s="20" t="n"/>
      <c r="G56" s="20" t="n"/>
      <c r="H56" s="21">
        <f>IF(A56="","",IF(IF(A56="","",IF(OR(C56="",D56=""),"🟡 Falta data. ",IF(D56&lt;C56,"🔴 Fim antes do início. ","")&amp;IF(OR(AND($B$3&lt;&gt;"",C56&lt;$B$3),AND($B$4&lt;&gt;"",D56&gt;$B$4)),"🔴 Fora do período do projeto. ",""))&amp;IF(B56="","🟡 Informe a etapa. ",IF(COUNTIF('ORÇAMENTO'!$A$8:$A$207,B56)=0,"🟡 Etapa sem despesa no orçamento: quem paga? ",""))&amp;IF(F56="","🟡 Sem responsável. ",""))="","🟢 OK",IF(A56="","",IF(OR(C56="",D56=""),"🟡 Falta data. ",IF(D56&lt;C56,"🔴 Fim antes do início. ","")&amp;IF(OR(AND($B$3&lt;&gt;"",C56&lt;$B$3),AND($B$4&lt;&gt;"",D56&gt;$B$4)),"🔴 Fora do período do projeto. ",""))&amp;IF(B56="","🟡 Informe a etapa. ",IF(COUNTIF('ORÇAMENTO'!$A$8:$A$207,B56)=0,"🟡 Etapa sem despesa no orçamento: quem paga? ",""))&amp;IF(F56="","🟡 Sem responsável. ",""))))</f>
        <v/>
      </c>
      <c r="I56" s="31">
        <f>IF(OR($C56="",$D56="",I$7=""),"",IF(AND($C56&lt;=EOMONTH(I$7,0),$D56&gt;=I$7),"■",""))</f>
        <v/>
      </c>
      <c r="J56" s="31">
        <f>IF(OR($C56="",$D56="",J$7=""),"",IF(AND($C56&lt;=EOMONTH(J$7,0),$D56&gt;=J$7),"■",""))</f>
        <v/>
      </c>
      <c r="K56" s="31">
        <f>IF(OR($C56="",$D56="",K$7=""),"",IF(AND($C56&lt;=EOMONTH(K$7,0),$D56&gt;=K$7),"■",""))</f>
        <v/>
      </c>
      <c r="L56" s="31">
        <f>IF(OR($C56="",$D56="",L$7=""),"",IF(AND($C56&lt;=EOMONTH(L$7,0),$D56&gt;=L$7),"■",""))</f>
        <v/>
      </c>
      <c r="M56" s="31">
        <f>IF(OR($C56="",$D56="",M$7=""),"",IF(AND($C56&lt;=EOMONTH(M$7,0),$D56&gt;=M$7),"■",""))</f>
        <v/>
      </c>
      <c r="N56" s="31">
        <f>IF(OR($C56="",$D56="",N$7=""),"",IF(AND($C56&lt;=EOMONTH(N$7,0),$D56&gt;=N$7),"■",""))</f>
        <v/>
      </c>
      <c r="O56" s="31">
        <f>IF(OR($C56="",$D56="",O$7=""),"",IF(AND($C56&lt;=EOMONTH(O$7,0),$D56&gt;=O$7),"■",""))</f>
        <v/>
      </c>
      <c r="P56" s="31">
        <f>IF(OR($C56="",$D56="",P$7=""),"",IF(AND($C56&lt;=EOMONTH(P$7,0),$D56&gt;=P$7),"■",""))</f>
        <v/>
      </c>
      <c r="Q56" s="31">
        <f>IF(OR($C56="",$D56="",Q$7=""),"",IF(AND($C56&lt;=EOMONTH(Q$7,0),$D56&gt;=Q$7),"■",""))</f>
        <v/>
      </c>
      <c r="R56" s="31">
        <f>IF(OR($C56="",$D56="",R$7=""),"",IF(AND($C56&lt;=EOMONTH(R$7,0),$D56&gt;=R$7),"■",""))</f>
        <v/>
      </c>
      <c r="S56" s="31">
        <f>IF(OR($C56="",$D56="",S$7=""),"",IF(AND($C56&lt;=EOMONTH(S$7,0),$D56&gt;=S$7),"■",""))</f>
        <v/>
      </c>
      <c r="T56" s="31">
        <f>IF(OR($C56="",$D56="",T$7=""),"",IF(AND($C56&lt;=EOMONTH(T$7,0),$D56&gt;=T$7),"■",""))</f>
        <v/>
      </c>
      <c r="U56" s="31">
        <f>IF(OR($C56="",$D56="",U$7=""),"",IF(AND($C56&lt;=EOMONTH(U$7,0),$D56&gt;=U$7),"■",""))</f>
        <v/>
      </c>
      <c r="V56" s="31">
        <f>IF(OR($C56="",$D56="",V$7=""),"",IF(AND($C56&lt;=EOMONTH(V$7,0),$D56&gt;=V$7),"■",""))</f>
        <v/>
      </c>
      <c r="W56" s="31">
        <f>IF(OR($C56="",$D56="",W$7=""),"",IF(AND($C56&lt;=EOMONTH(W$7,0),$D56&gt;=W$7),"■",""))</f>
        <v/>
      </c>
      <c r="X56" s="31">
        <f>IF(OR($C56="",$D56="",X$7=""),"",IF(AND($C56&lt;=EOMONTH(X$7,0),$D56&gt;=X$7),"■",""))</f>
        <v/>
      </c>
      <c r="Y56" s="31">
        <f>IF(OR($C56="",$D56="",Y$7=""),"",IF(AND($C56&lt;=EOMONTH(Y$7,0),$D56&gt;=Y$7),"■",""))</f>
        <v/>
      </c>
      <c r="Z56" s="31">
        <f>IF(OR($C56="",$D56="",Z$7=""),"",IF(AND($C56&lt;=EOMONTH(Z$7,0),$D56&gt;=Z$7),"■",""))</f>
        <v/>
      </c>
    </row>
    <row r="57">
      <c r="A57" s="20" t="n"/>
      <c r="B57" s="20" t="n"/>
      <c r="C57" s="30" t="n"/>
      <c r="D57" s="30" t="n"/>
      <c r="E57" s="21">
        <f>IF(OR(C57="",D57=""),"",D57-C57+1)</f>
        <v/>
      </c>
      <c r="F57" s="20" t="n"/>
      <c r="G57" s="20" t="n"/>
      <c r="H57" s="21">
        <f>IF(A57="","",IF(IF(A57="","",IF(OR(C57="",D57=""),"🟡 Falta data. ",IF(D57&lt;C57,"🔴 Fim antes do início. ","")&amp;IF(OR(AND($B$3&lt;&gt;"",C57&lt;$B$3),AND($B$4&lt;&gt;"",D57&gt;$B$4)),"🔴 Fora do período do projeto. ",""))&amp;IF(B57="","🟡 Informe a etapa. ",IF(COUNTIF('ORÇAMENTO'!$A$8:$A$207,B57)=0,"🟡 Etapa sem despesa no orçamento: quem paga? ",""))&amp;IF(F57="","🟡 Sem responsável. ",""))="","🟢 OK",IF(A57="","",IF(OR(C57="",D57=""),"🟡 Falta data. ",IF(D57&lt;C57,"🔴 Fim antes do início. ","")&amp;IF(OR(AND($B$3&lt;&gt;"",C57&lt;$B$3),AND($B$4&lt;&gt;"",D57&gt;$B$4)),"🔴 Fora do período do projeto. ",""))&amp;IF(B57="","🟡 Informe a etapa. ",IF(COUNTIF('ORÇAMENTO'!$A$8:$A$207,B57)=0,"🟡 Etapa sem despesa no orçamento: quem paga? ",""))&amp;IF(F57="","🟡 Sem responsável. ",""))))</f>
        <v/>
      </c>
      <c r="I57" s="31">
        <f>IF(OR($C57="",$D57="",I$7=""),"",IF(AND($C57&lt;=EOMONTH(I$7,0),$D57&gt;=I$7),"■",""))</f>
        <v/>
      </c>
      <c r="J57" s="31">
        <f>IF(OR($C57="",$D57="",J$7=""),"",IF(AND($C57&lt;=EOMONTH(J$7,0),$D57&gt;=J$7),"■",""))</f>
        <v/>
      </c>
      <c r="K57" s="31">
        <f>IF(OR($C57="",$D57="",K$7=""),"",IF(AND($C57&lt;=EOMONTH(K$7,0),$D57&gt;=K$7),"■",""))</f>
        <v/>
      </c>
      <c r="L57" s="31">
        <f>IF(OR($C57="",$D57="",L$7=""),"",IF(AND($C57&lt;=EOMONTH(L$7,0),$D57&gt;=L$7),"■",""))</f>
        <v/>
      </c>
      <c r="M57" s="31">
        <f>IF(OR($C57="",$D57="",M$7=""),"",IF(AND($C57&lt;=EOMONTH(M$7,0),$D57&gt;=M$7),"■",""))</f>
        <v/>
      </c>
      <c r="N57" s="31">
        <f>IF(OR($C57="",$D57="",N$7=""),"",IF(AND($C57&lt;=EOMONTH(N$7,0),$D57&gt;=N$7),"■",""))</f>
        <v/>
      </c>
      <c r="O57" s="31">
        <f>IF(OR($C57="",$D57="",O$7=""),"",IF(AND($C57&lt;=EOMONTH(O$7,0),$D57&gt;=O$7),"■",""))</f>
        <v/>
      </c>
      <c r="P57" s="31">
        <f>IF(OR($C57="",$D57="",P$7=""),"",IF(AND($C57&lt;=EOMONTH(P$7,0),$D57&gt;=P$7),"■",""))</f>
        <v/>
      </c>
      <c r="Q57" s="31">
        <f>IF(OR($C57="",$D57="",Q$7=""),"",IF(AND($C57&lt;=EOMONTH(Q$7,0),$D57&gt;=Q$7),"■",""))</f>
        <v/>
      </c>
      <c r="R57" s="31">
        <f>IF(OR($C57="",$D57="",R$7=""),"",IF(AND($C57&lt;=EOMONTH(R$7,0),$D57&gt;=R$7),"■",""))</f>
        <v/>
      </c>
      <c r="S57" s="31">
        <f>IF(OR($C57="",$D57="",S$7=""),"",IF(AND($C57&lt;=EOMONTH(S$7,0),$D57&gt;=S$7),"■",""))</f>
        <v/>
      </c>
      <c r="T57" s="31">
        <f>IF(OR($C57="",$D57="",T$7=""),"",IF(AND($C57&lt;=EOMONTH(T$7,0),$D57&gt;=T$7),"■",""))</f>
        <v/>
      </c>
      <c r="U57" s="31">
        <f>IF(OR($C57="",$D57="",U$7=""),"",IF(AND($C57&lt;=EOMONTH(U$7,0),$D57&gt;=U$7),"■",""))</f>
        <v/>
      </c>
      <c r="V57" s="31">
        <f>IF(OR($C57="",$D57="",V$7=""),"",IF(AND($C57&lt;=EOMONTH(V$7,0),$D57&gt;=V$7),"■",""))</f>
        <v/>
      </c>
      <c r="W57" s="31">
        <f>IF(OR($C57="",$D57="",W$7=""),"",IF(AND($C57&lt;=EOMONTH(W$7,0),$D57&gt;=W$7),"■",""))</f>
        <v/>
      </c>
      <c r="X57" s="31">
        <f>IF(OR($C57="",$D57="",X$7=""),"",IF(AND($C57&lt;=EOMONTH(X$7,0),$D57&gt;=X$7),"■",""))</f>
        <v/>
      </c>
      <c r="Y57" s="31">
        <f>IF(OR($C57="",$D57="",Y$7=""),"",IF(AND($C57&lt;=EOMONTH(Y$7,0),$D57&gt;=Y$7),"■",""))</f>
        <v/>
      </c>
      <c r="Z57" s="31">
        <f>IF(OR($C57="",$D57="",Z$7=""),"",IF(AND($C57&lt;=EOMONTH(Z$7,0),$D57&gt;=Z$7),"■",""))</f>
        <v/>
      </c>
    </row>
    <row r="58">
      <c r="A58" s="20" t="n"/>
      <c r="B58" s="20" t="n"/>
      <c r="C58" s="30" t="n"/>
      <c r="D58" s="30" t="n"/>
      <c r="E58" s="21">
        <f>IF(OR(C58="",D58=""),"",D58-C58+1)</f>
        <v/>
      </c>
      <c r="F58" s="20" t="n"/>
      <c r="G58" s="20" t="n"/>
      <c r="H58" s="21">
        <f>IF(A58="","",IF(IF(A58="","",IF(OR(C58="",D58=""),"🟡 Falta data. ",IF(D58&lt;C58,"🔴 Fim antes do início. ","")&amp;IF(OR(AND($B$3&lt;&gt;"",C58&lt;$B$3),AND($B$4&lt;&gt;"",D58&gt;$B$4)),"🔴 Fora do período do projeto. ",""))&amp;IF(B58="","🟡 Informe a etapa. ",IF(COUNTIF('ORÇAMENTO'!$A$8:$A$207,B58)=0,"🟡 Etapa sem despesa no orçamento: quem paga? ",""))&amp;IF(F58="","🟡 Sem responsável. ",""))="","🟢 OK",IF(A58="","",IF(OR(C58="",D58=""),"🟡 Falta data. ",IF(D58&lt;C58,"🔴 Fim antes do início. ","")&amp;IF(OR(AND($B$3&lt;&gt;"",C58&lt;$B$3),AND($B$4&lt;&gt;"",D58&gt;$B$4)),"🔴 Fora do período do projeto. ",""))&amp;IF(B58="","🟡 Informe a etapa. ",IF(COUNTIF('ORÇAMENTO'!$A$8:$A$207,B58)=0,"🟡 Etapa sem despesa no orçamento: quem paga? ",""))&amp;IF(F58="","🟡 Sem responsável. ",""))))</f>
        <v/>
      </c>
      <c r="I58" s="31">
        <f>IF(OR($C58="",$D58="",I$7=""),"",IF(AND($C58&lt;=EOMONTH(I$7,0),$D58&gt;=I$7),"■",""))</f>
        <v/>
      </c>
      <c r="J58" s="31">
        <f>IF(OR($C58="",$D58="",J$7=""),"",IF(AND($C58&lt;=EOMONTH(J$7,0),$D58&gt;=J$7),"■",""))</f>
        <v/>
      </c>
      <c r="K58" s="31">
        <f>IF(OR($C58="",$D58="",K$7=""),"",IF(AND($C58&lt;=EOMONTH(K$7,0),$D58&gt;=K$7),"■",""))</f>
        <v/>
      </c>
      <c r="L58" s="31">
        <f>IF(OR($C58="",$D58="",L$7=""),"",IF(AND($C58&lt;=EOMONTH(L$7,0),$D58&gt;=L$7),"■",""))</f>
        <v/>
      </c>
      <c r="M58" s="31">
        <f>IF(OR($C58="",$D58="",M$7=""),"",IF(AND($C58&lt;=EOMONTH(M$7,0),$D58&gt;=M$7),"■",""))</f>
        <v/>
      </c>
      <c r="N58" s="31">
        <f>IF(OR($C58="",$D58="",N$7=""),"",IF(AND($C58&lt;=EOMONTH(N$7,0),$D58&gt;=N$7),"■",""))</f>
        <v/>
      </c>
      <c r="O58" s="31">
        <f>IF(OR($C58="",$D58="",O$7=""),"",IF(AND($C58&lt;=EOMONTH(O$7,0),$D58&gt;=O$7),"■",""))</f>
        <v/>
      </c>
      <c r="P58" s="31">
        <f>IF(OR($C58="",$D58="",P$7=""),"",IF(AND($C58&lt;=EOMONTH(P$7,0),$D58&gt;=P$7),"■",""))</f>
        <v/>
      </c>
      <c r="Q58" s="31">
        <f>IF(OR($C58="",$D58="",Q$7=""),"",IF(AND($C58&lt;=EOMONTH(Q$7,0),$D58&gt;=Q$7),"■",""))</f>
        <v/>
      </c>
      <c r="R58" s="31">
        <f>IF(OR($C58="",$D58="",R$7=""),"",IF(AND($C58&lt;=EOMONTH(R$7,0),$D58&gt;=R$7),"■",""))</f>
        <v/>
      </c>
      <c r="S58" s="31">
        <f>IF(OR($C58="",$D58="",S$7=""),"",IF(AND($C58&lt;=EOMONTH(S$7,0),$D58&gt;=S$7),"■",""))</f>
        <v/>
      </c>
      <c r="T58" s="31">
        <f>IF(OR($C58="",$D58="",T$7=""),"",IF(AND($C58&lt;=EOMONTH(T$7,0),$D58&gt;=T$7),"■",""))</f>
        <v/>
      </c>
      <c r="U58" s="31">
        <f>IF(OR($C58="",$D58="",U$7=""),"",IF(AND($C58&lt;=EOMONTH(U$7,0),$D58&gt;=U$7),"■",""))</f>
        <v/>
      </c>
      <c r="V58" s="31">
        <f>IF(OR($C58="",$D58="",V$7=""),"",IF(AND($C58&lt;=EOMONTH(V$7,0),$D58&gt;=V$7),"■",""))</f>
        <v/>
      </c>
      <c r="W58" s="31">
        <f>IF(OR($C58="",$D58="",W$7=""),"",IF(AND($C58&lt;=EOMONTH(W$7,0),$D58&gt;=W$7),"■",""))</f>
        <v/>
      </c>
      <c r="X58" s="31">
        <f>IF(OR($C58="",$D58="",X$7=""),"",IF(AND($C58&lt;=EOMONTH(X$7,0),$D58&gt;=X$7),"■",""))</f>
        <v/>
      </c>
      <c r="Y58" s="31">
        <f>IF(OR($C58="",$D58="",Y$7=""),"",IF(AND($C58&lt;=EOMONTH(Y$7,0),$D58&gt;=Y$7),"■",""))</f>
        <v/>
      </c>
      <c r="Z58" s="31">
        <f>IF(OR($C58="",$D58="",Z$7=""),"",IF(AND($C58&lt;=EOMONTH(Z$7,0),$D58&gt;=Z$7),"■",""))</f>
        <v/>
      </c>
    </row>
    <row r="59">
      <c r="A59" s="20" t="n"/>
      <c r="B59" s="20" t="n"/>
      <c r="C59" s="30" t="n"/>
      <c r="D59" s="30" t="n"/>
      <c r="E59" s="21">
        <f>IF(OR(C59="",D59=""),"",D59-C59+1)</f>
        <v/>
      </c>
      <c r="F59" s="20" t="n"/>
      <c r="G59" s="20" t="n"/>
      <c r="H59" s="21">
        <f>IF(A59="","",IF(IF(A59="","",IF(OR(C59="",D59=""),"🟡 Falta data. ",IF(D59&lt;C59,"🔴 Fim antes do início. ","")&amp;IF(OR(AND($B$3&lt;&gt;"",C59&lt;$B$3),AND($B$4&lt;&gt;"",D59&gt;$B$4)),"🔴 Fora do período do projeto. ",""))&amp;IF(B59="","🟡 Informe a etapa. ",IF(COUNTIF('ORÇAMENTO'!$A$8:$A$207,B59)=0,"🟡 Etapa sem despesa no orçamento: quem paga? ",""))&amp;IF(F59="","🟡 Sem responsável. ",""))="","🟢 OK",IF(A59="","",IF(OR(C59="",D59=""),"🟡 Falta data. ",IF(D59&lt;C59,"🔴 Fim antes do início. ","")&amp;IF(OR(AND($B$3&lt;&gt;"",C59&lt;$B$3),AND($B$4&lt;&gt;"",D59&gt;$B$4)),"🔴 Fora do período do projeto. ",""))&amp;IF(B59="","🟡 Informe a etapa. ",IF(COUNTIF('ORÇAMENTO'!$A$8:$A$207,B59)=0,"🟡 Etapa sem despesa no orçamento: quem paga? ",""))&amp;IF(F59="","🟡 Sem responsável. ",""))))</f>
        <v/>
      </c>
      <c r="I59" s="31">
        <f>IF(OR($C59="",$D59="",I$7=""),"",IF(AND($C59&lt;=EOMONTH(I$7,0),$D59&gt;=I$7),"■",""))</f>
        <v/>
      </c>
      <c r="J59" s="31">
        <f>IF(OR($C59="",$D59="",J$7=""),"",IF(AND($C59&lt;=EOMONTH(J$7,0),$D59&gt;=J$7),"■",""))</f>
        <v/>
      </c>
      <c r="K59" s="31">
        <f>IF(OR($C59="",$D59="",K$7=""),"",IF(AND($C59&lt;=EOMONTH(K$7,0),$D59&gt;=K$7),"■",""))</f>
        <v/>
      </c>
      <c r="L59" s="31">
        <f>IF(OR($C59="",$D59="",L$7=""),"",IF(AND($C59&lt;=EOMONTH(L$7,0),$D59&gt;=L$7),"■",""))</f>
        <v/>
      </c>
      <c r="M59" s="31">
        <f>IF(OR($C59="",$D59="",M$7=""),"",IF(AND($C59&lt;=EOMONTH(M$7,0),$D59&gt;=M$7),"■",""))</f>
        <v/>
      </c>
      <c r="N59" s="31">
        <f>IF(OR($C59="",$D59="",N$7=""),"",IF(AND($C59&lt;=EOMONTH(N$7,0),$D59&gt;=N$7),"■",""))</f>
        <v/>
      </c>
      <c r="O59" s="31">
        <f>IF(OR($C59="",$D59="",O$7=""),"",IF(AND($C59&lt;=EOMONTH(O$7,0),$D59&gt;=O$7),"■",""))</f>
        <v/>
      </c>
      <c r="P59" s="31">
        <f>IF(OR($C59="",$D59="",P$7=""),"",IF(AND($C59&lt;=EOMONTH(P$7,0),$D59&gt;=P$7),"■",""))</f>
        <v/>
      </c>
      <c r="Q59" s="31">
        <f>IF(OR($C59="",$D59="",Q$7=""),"",IF(AND($C59&lt;=EOMONTH(Q$7,0),$D59&gt;=Q$7),"■",""))</f>
        <v/>
      </c>
      <c r="R59" s="31">
        <f>IF(OR($C59="",$D59="",R$7=""),"",IF(AND($C59&lt;=EOMONTH(R$7,0),$D59&gt;=R$7),"■",""))</f>
        <v/>
      </c>
      <c r="S59" s="31">
        <f>IF(OR($C59="",$D59="",S$7=""),"",IF(AND($C59&lt;=EOMONTH(S$7,0),$D59&gt;=S$7),"■",""))</f>
        <v/>
      </c>
      <c r="T59" s="31">
        <f>IF(OR($C59="",$D59="",T$7=""),"",IF(AND($C59&lt;=EOMONTH(T$7,0),$D59&gt;=T$7),"■",""))</f>
        <v/>
      </c>
      <c r="U59" s="31">
        <f>IF(OR($C59="",$D59="",U$7=""),"",IF(AND($C59&lt;=EOMONTH(U$7,0),$D59&gt;=U$7),"■",""))</f>
        <v/>
      </c>
      <c r="V59" s="31">
        <f>IF(OR($C59="",$D59="",V$7=""),"",IF(AND($C59&lt;=EOMONTH(V$7,0),$D59&gt;=V$7),"■",""))</f>
        <v/>
      </c>
      <c r="W59" s="31">
        <f>IF(OR($C59="",$D59="",W$7=""),"",IF(AND($C59&lt;=EOMONTH(W$7,0),$D59&gt;=W$7),"■",""))</f>
        <v/>
      </c>
      <c r="X59" s="31">
        <f>IF(OR($C59="",$D59="",X$7=""),"",IF(AND($C59&lt;=EOMONTH(X$7,0),$D59&gt;=X$7),"■",""))</f>
        <v/>
      </c>
      <c r="Y59" s="31">
        <f>IF(OR($C59="",$D59="",Y$7=""),"",IF(AND($C59&lt;=EOMONTH(Y$7,0),$D59&gt;=Y$7),"■",""))</f>
        <v/>
      </c>
      <c r="Z59" s="31">
        <f>IF(OR($C59="",$D59="",Z$7=""),"",IF(AND($C59&lt;=EOMONTH(Z$7,0),$D59&gt;=Z$7),"■",""))</f>
        <v/>
      </c>
    </row>
    <row r="60">
      <c r="A60" s="20" t="n"/>
      <c r="B60" s="20" t="n"/>
      <c r="C60" s="30" t="n"/>
      <c r="D60" s="30" t="n"/>
      <c r="E60" s="21">
        <f>IF(OR(C60="",D60=""),"",D60-C60+1)</f>
        <v/>
      </c>
      <c r="F60" s="20" t="n"/>
      <c r="G60" s="20" t="n"/>
      <c r="H60" s="21">
        <f>IF(A60="","",IF(IF(A60="","",IF(OR(C60="",D60=""),"🟡 Falta data. ",IF(D60&lt;C60,"🔴 Fim antes do início. ","")&amp;IF(OR(AND($B$3&lt;&gt;"",C60&lt;$B$3),AND($B$4&lt;&gt;"",D60&gt;$B$4)),"🔴 Fora do período do projeto. ",""))&amp;IF(B60="","🟡 Informe a etapa. ",IF(COUNTIF('ORÇAMENTO'!$A$8:$A$207,B60)=0,"🟡 Etapa sem despesa no orçamento: quem paga? ",""))&amp;IF(F60="","🟡 Sem responsável. ",""))="","🟢 OK",IF(A60="","",IF(OR(C60="",D60=""),"🟡 Falta data. ",IF(D60&lt;C60,"🔴 Fim antes do início. ","")&amp;IF(OR(AND($B$3&lt;&gt;"",C60&lt;$B$3),AND($B$4&lt;&gt;"",D60&gt;$B$4)),"🔴 Fora do período do projeto. ",""))&amp;IF(B60="","🟡 Informe a etapa. ",IF(COUNTIF('ORÇAMENTO'!$A$8:$A$207,B60)=0,"🟡 Etapa sem despesa no orçamento: quem paga? ",""))&amp;IF(F60="","🟡 Sem responsável. ",""))))</f>
        <v/>
      </c>
      <c r="I60" s="31">
        <f>IF(OR($C60="",$D60="",I$7=""),"",IF(AND($C60&lt;=EOMONTH(I$7,0),$D60&gt;=I$7),"■",""))</f>
        <v/>
      </c>
      <c r="J60" s="31">
        <f>IF(OR($C60="",$D60="",J$7=""),"",IF(AND($C60&lt;=EOMONTH(J$7,0),$D60&gt;=J$7),"■",""))</f>
        <v/>
      </c>
      <c r="K60" s="31">
        <f>IF(OR($C60="",$D60="",K$7=""),"",IF(AND($C60&lt;=EOMONTH(K$7,0),$D60&gt;=K$7),"■",""))</f>
        <v/>
      </c>
      <c r="L60" s="31">
        <f>IF(OR($C60="",$D60="",L$7=""),"",IF(AND($C60&lt;=EOMONTH(L$7,0),$D60&gt;=L$7),"■",""))</f>
        <v/>
      </c>
      <c r="M60" s="31">
        <f>IF(OR($C60="",$D60="",M$7=""),"",IF(AND($C60&lt;=EOMONTH(M$7,0),$D60&gt;=M$7),"■",""))</f>
        <v/>
      </c>
      <c r="N60" s="31">
        <f>IF(OR($C60="",$D60="",N$7=""),"",IF(AND($C60&lt;=EOMONTH(N$7,0),$D60&gt;=N$7),"■",""))</f>
        <v/>
      </c>
      <c r="O60" s="31">
        <f>IF(OR($C60="",$D60="",O$7=""),"",IF(AND($C60&lt;=EOMONTH(O$7,0),$D60&gt;=O$7),"■",""))</f>
        <v/>
      </c>
      <c r="P60" s="31">
        <f>IF(OR($C60="",$D60="",P$7=""),"",IF(AND($C60&lt;=EOMONTH(P$7,0),$D60&gt;=P$7),"■",""))</f>
        <v/>
      </c>
      <c r="Q60" s="31">
        <f>IF(OR($C60="",$D60="",Q$7=""),"",IF(AND($C60&lt;=EOMONTH(Q$7,0),$D60&gt;=Q$7),"■",""))</f>
        <v/>
      </c>
      <c r="R60" s="31">
        <f>IF(OR($C60="",$D60="",R$7=""),"",IF(AND($C60&lt;=EOMONTH(R$7,0),$D60&gt;=R$7),"■",""))</f>
        <v/>
      </c>
      <c r="S60" s="31">
        <f>IF(OR($C60="",$D60="",S$7=""),"",IF(AND($C60&lt;=EOMONTH(S$7,0),$D60&gt;=S$7),"■",""))</f>
        <v/>
      </c>
      <c r="T60" s="31">
        <f>IF(OR($C60="",$D60="",T$7=""),"",IF(AND($C60&lt;=EOMONTH(T$7,0),$D60&gt;=T$7),"■",""))</f>
        <v/>
      </c>
      <c r="U60" s="31">
        <f>IF(OR($C60="",$D60="",U$7=""),"",IF(AND($C60&lt;=EOMONTH(U$7,0),$D60&gt;=U$7),"■",""))</f>
        <v/>
      </c>
      <c r="V60" s="31">
        <f>IF(OR($C60="",$D60="",V$7=""),"",IF(AND($C60&lt;=EOMONTH(V$7,0),$D60&gt;=V$7),"■",""))</f>
        <v/>
      </c>
      <c r="W60" s="31">
        <f>IF(OR($C60="",$D60="",W$7=""),"",IF(AND($C60&lt;=EOMONTH(W$7,0),$D60&gt;=W$7),"■",""))</f>
        <v/>
      </c>
      <c r="X60" s="31">
        <f>IF(OR($C60="",$D60="",X$7=""),"",IF(AND($C60&lt;=EOMONTH(X$7,0),$D60&gt;=X$7),"■",""))</f>
        <v/>
      </c>
      <c r="Y60" s="31">
        <f>IF(OR($C60="",$D60="",Y$7=""),"",IF(AND($C60&lt;=EOMONTH(Y$7,0),$D60&gt;=Y$7),"■",""))</f>
        <v/>
      </c>
      <c r="Z60" s="31">
        <f>IF(OR($C60="",$D60="",Z$7=""),"",IF(AND($C60&lt;=EOMONTH(Z$7,0),$D60&gt;=Z$7),"■",""))</f>
        <v/>
      </c>
    </row>
    <row r="61">
      <c r="A61" s="20" t="n"/>
      <c r="B61" s="20" t="n"/>
      <c r="C61" s="30" t="n"/>
      <c r="D61" s="30" t="n"/>
      <c r="E61" s="21">
        <f>IF(OR(C61="",D61=""),"",D61-C61+1)</f>
        <v/>
      </c>
      <c r="F61" s="20" t="n"/>
      <c r="G61" s="20" t="n"/>
      <c r="H61" s="21">
        <f>IF(A61="","",IF(IF(A61="","",IF(OR(C61="",D61=""),"🟡 Falta data. ",IF(D61&lt;C61,"🔴 Fim antes do início. ","")&amp;IF(OR(AND($B$3&lt;&gt;"",C61&lt;$B$3),AND($B$4&lt;&gt;"",D61&gt;$B$4)),"🔴 Fora do período do projeto. ",""))&amp;IF(B61="","🟡 Informe a etapa. ",IF(COUNTIF('ORÇAMENTO'!$A$8:$A$207,B61)=0,"🟡 Etapa sem despesa no orçamento: quem paga? ",""))&amp;IF(F61="","🟡 Sem responsável. ",""))="","🟢 OK",IF(A61="","",IF(OR(C61="",D61=""),"🟡 Falta data. ",IF(D61&lt;C61,"🔴 Fim antes do início. ","")&amp;IF(OR(AND($B$3&lt;&gt;"",C61&lt;$B$3),AND($B$4&lt;&gt;"",D61&gt;$B$4)),"🔴 Fora do período do projeto. ",""))&amp;IF(B61="","🟡 Informe a etapa. ",IF(COUNTIF('ORÇAMENTO'!$A$8:$A$207,B61)=0,"🟡 Etapa sem despesa no orçamento: quem paga? ",""))&amp;IF(F61="","🟡 Sem responsável. ",""))))</f>
        <v/>
      </c>
      <c r="I61" s="31">
        <f>IF(OR($C61="",$D61="",I$7=""),"",IF(AND($C61&lt;=EOMONTH(I$7,0),$D61&gt;=I$7),"■",""))</f>
        <v/>
      </c>
      <c r="J61" s="31">
        <f>IF(OR($C61="",$D61="",J$7=""),"",IF(AND($C61&lt;=EOMONTH(J$7,0),$D61&gt;=J$7),"■",""))</f>
        <v/>
      </c>
      <c r="K61" s="31">
        <f>IF(OR($C61="",$D61="",K$7=""),"",IF(AND($C61&lt;=EOMONTH(K$7,0),$D61&gt;=K$7),"■",""))</f>
        <v/>
      </c>
      <c r="L61" s="31">
        <f>IF(OR($C61="",$D61="",L$7=""),"",IF(AND($C61&lt;=EOMONTH(L$7,0),$D61&gt;=L$7),"■",""))</f>
        <v/>
      </c>
      <c r="M61" s="31">
        <f>IF(OR($C61="",$D61="",M$7=""),"",IF(AND($C61&lt;=EOMONTH(M$7,0),$D61&gt;=M$7),"■",""))</f>
        <v/>
      </c>
      <c r="N61" s="31">
        <f>IF(OR($C61="",$D61="",N$7=""),"",IF(AND($C61&lt;=EOMONTH(N$7,0),$D61&gt;=N$7),"■",""))</f>
        <v/>
      </c>
      <c r="O61" s="31">
        <f>IF(OR($C61="",$D61="",O$7=""),"",IF(AND($C61&lt;=EOMONTH(O$7,0),$D61&gt;=O$7),"■",""))</f>
        <v/>
      </c>
      <c r="P61" s="31">
        <f>IF(OR($C61="",$D61="",P$7=""),"",IF(AND($C61&lt;=EOMONTH(P$7,0),$D61&gt;=P$7),"■",""))</f>
        <v/>
      </c>
      <c r="Q61" s="31">
        <f>IF(OR($C61="",$D61="",Q$7=""),"",IF(AND($C61&lt;=EOMONTH(Q$7,0),$D61&gt;=Q$7),"■",""))</f>
        <v/>
      </c>
      <c r="R61" s="31">
        <f>IF(OR($C61="",$D61="",R$7=""),"",IF(AND($C61&lt;=EOMONTH(R$7,0),$D61&gt;=R$7),"■",""))</f>
        <v/>
      </c>
      <c r="S61" s="31">
        <f>IF(OR($C61="",$D61="",S$7=""),"",IF(AND($C61&lt;=EOMONTH(S$7,0),$D61&gt;=S$7),"■",""))</f>
        <v/>
      </c>
      <c r="T61" s="31">
        <f>IF(OR($C61="",$D61="",T$7=""),"",IF(AND($C61&lt;=EOMONTH(T$7,0),$D61&gt;=T$7),"■",""))</f>
        <v/>
      </c>
      <c r="U61" s="31">
        <f>IF(OR($C61="",$D61="",U$7=""),"",IF(AND($C61&lt;=EOMONTH(U$7,0),$D61&gt;=U$7),"■",""))</f>
        <v/>
      </c>
      <c r="V61" s="31">
        <f>IF(OR($C61="",$D61="",V$7=""),"",IF(AND($C61&lt;=EOMONTH(V$7,0),$D61&gt;=V$7),"■",""))</f>
        <v/>
      </c>
      <c r="W61" s="31">
        <f>IF(OR($C61="",$D61="",W$7=""),"",IF(AND($C61&lt;=EOMONTH(W$7,0),$D61&gt;=W$7),"■",""))</f>
        <v/>
      </c>
      <c r="X61" s="31">
        <f>IF(OR($C61="",$D61="",X$7=""),"",IF(AND($C61&lt;=EOMONTH(X$7,0),$D61&gt;=X$7),"■",""))</f>
        <v/>
      </c>
      <c r="Y61" s="31">
        <f>IF(OR($C61="",$D61="",Y$7=""),"",IF(AND($C61&lt;=EOMONTH(Y$7,0),$D61&gt;=Y$7),"■",""))</f>
        <v/>
      </c>
      <c r="Z61" s="31">
        <f>IF(OR($C61="",$D61="",Z$7=""),"",IF(AND($C61&lt;=EOMONTH(Z$7,0),$D61&gt;=Z$7),"■",""))</f>
        <v/>
      </c>
    </row>
    <row r="62">
      <c r="A62" s="20" t="n"/>
      <c r="B62" s="20" t="n"/>
      <c r="C62" s="30" t="n"/>
      <c r="D62" s="30" t="n"/>
      <c r="E62" s="21">
        <f>IF(OR(C62="",D62=""),"",D62-C62+1)</f>
        <v/>
      </c>
      <c r="F62" s="20" t="n"/>
      <c r="G62" s="20" t="n"/>
      <c r="H62" s="21">
        <f>IF(A62="","",IF(IF(A62="","",IF(OR(C62="",D62=""),"🟡 Falta data. ",IF(D62&lt;C62,"🔴 Fim antes do início. ","")&amp;IF(OR(AND($B$3&lt;&gt;"",C62&lt;$B$3),AND($B$4&lt;&gt;"",D62&gt;$B$4)),"🔴 Fora do período do projeto. ",""))&amp;IF(B62="","🟡 Informe a etapa. ",IF(COUNTIF('ORÇAMENTO'!$A$8:$A$207,B62)=0,"🟡 Etapa sem despesa no orçamento: quem paga? ",""))&amp;IF(F62="","🟡 Sem responsável. ",""))="","🟢 OK",IF(A62="","",IF(OR(C62="",D62=""),"🟡 Falta data. ",IF(D62&lt;C62,"🔴 Fim antes do início. ","")&amp;IF(OR(AND($B$3&lt;&gt;"",C62&lt;$B$3),AND($B$4&lt;&gt;"",D62&gt;$B$4)),"🔴 Fora do período do projeto. ",""))&amp;IF(B62="","🟡 Informe a etapa. ",IF(COUNTIF('ORÇAMENTO'!$A$8:$A$207,B62)=0,"🟡 Etapa sem despesa no orçamento: quem paga? ",""))&amp;IF(F62="","🟡 Sem responsável. ",""))))</f>
        <v/>
      </c>
      <c r="I62" s="31">
        <f>IF(OR($C62="",$D62="",I$7=""),"",IF(AND($C62&lt;=EOMONTH(I$7,0),$D62&gt;=I$7),"■",""))</f>
        <v/>
      </c>
      <c r="J62" s="31">
        <f>IF(OR($C62="",$D62="",J$7=""),"",IF(AND($C62&lt;=EOMONTH(J$7,0),$D62&gt;=J$7),"■",""))</f>
        <v/>
      </c>
      <c r="K62" s="31">
        <f>IF(OR($C62="",$D62="",K$7=""),"",IF(AND($C62&lt;=EOMONTH(K$7,0),$D62&gt;=K$7),"■",""))</f>
        <v/>
      </c>
      <c r="L62" s="31">
        <f>IF(OR($C62="",$D62="",L$7=""),"",IF(AND($C62&lt;=EOMONTH(L$7,0),$D62&gt;=L$7),"■",""))</f>
        <v/>
      </c>
      <c r="M62" s="31">
        <f>IF(OR($C62="",$D62="",M$7=""),"",IF(AND($C62&lt;=EOMONTH(M$7,0),$D62&gt;=M$7),"■",""))</f>
        <v/>
      </c>
      <c r="N62" s="31">
        <f>IF(OR($C62="",$D62="",N$7=""),"",IF(AND($C62&lt;=EOMONTH(N$7,0),$D62&gt;=N$7),"■",""))</f>
        <v/>
      </c>
      <c r="O62" s="31">
        <f>IF(OR($C62="",$D62="",O$7=""),"",IF(AND($C62&lt;=EOMONTH(O$7,0),$D62&gt;=O$7),"■",""))</f>
        <v/>
      </c>
      <c r="P62" s="31">
        <f>IF(OR($C62="",$D62="",P$7=""),"",IF(AND($C62&lt;=EOMONTH(P$7,0),$D62&gt;=P$7),"■",""))</f>
        <v/>
      </c>
      <c r="Q62" s="31">
        <f>IF(OR($C62="",$D62="",Q$7=""),"",IF(AND($C62&lt;=EOMONTH(Q$7,0),$D62&gt;=Q$7),"■",""))</f>
        <v/>
      </c>
      <c r="R62" s="31">
        <f>IF(OR($C62="",$D62="",R$7=""),"",IF(AND($C62&lt;=EOMONTH(R$7,0),$D62&gt;=R$7),"■",""))</f>
        <v/>
      </c>
      <c r="S62" s="31">
        <f>IF(OR($C62="",$D62="",S$7=""),"",IF(AND($C62&lt;=EOMONTH(S$7,0),$D62&gt;=S$7),"■",""))</f>
        <v/>
      </c>
      <c r="T62" s="31">
        <f>IF(OR($C62="",$D62="",T$7=""),"",IF(AND($C62&lt;=EOMONTH(T$7,0),$D62&gt;=T$7),"■",""))</f>
        <v/>
      </c>
      <c r="U62" s="31">
        <f>IF(OR($C62="",$D62="",U$7=""),"",IF(AND($C62&lt;=EOMONTH(U$7,0),$D62&gt;=U$7),"■",""))</f>
        <v/>
      </c>
      <c r="V62" s="31">
        <f>IF(OR($C62="",$D62="",V$7=""),"",IF(AND($C62&lt;=EOMONTH(V$7,0),$D62&gt;=V$7),"■",""))</f>
        <v/>
      </c>
      <c r="W62" s="31">
        <f>IF(OR($C62="",$D62="",W$7=""),"",IF(AND($C62&lt;=EOMONTH(W$7,0),$D62&gt;=W$7),"■",""))</f>
        <v/>
      </c>
      <c r="X62" s="31">
        <f>IF(OR($C62="",$D62="",X$7=""),"",IF(AND($C62&lt;=EOMONTH(X$7,0),$D62&gt;=X$7),"■",""))</f>
        <v/>
      </c>
      <c r="Y62" s="31">
        <f>IF(OR($C62="",$D62="",Y$7=""),"",IF(AND($C62&lt;=EOMONTH(Y$7,0),$D62&gt;=Y$7),"■",""))</f>
        <v/>
      </c>
      <c r="Z62" s="31">
        <f>IF(OR($C62="",$D62="",Z$7=""),"",IF(AND($C62&lt;=EOMONTH(Z$7,0),$D62&gt;=Z$7),"■",""))</f>
        <v/>
      </c>
    </row>
    <row r="63">
      <c r="A63" s="20" t="n"/>
      <c r="B63" s="20" t="n"/>
      <c r="C63" s="30" t="n"/>
      <c r="D63" s="30" t="n"/>
      <c r="E63" s="21">
        <f>IF(OR(C63="",D63=""),"",D63-C63+1)</f>
        <v/>
      </c>
      <c r="F63" s="20" t="n"/>
      <c r="G63" s="20" t="n"/>
      <c r="H63" s="21">
        <f>IF(A63="","",IF(IF(A63="","",IF(OR(C63="",D63=""),"🟡 Falta data. ",IF(D63&lt;C63,"🔴 Fim antes do início. ","")&amp;IF(OR(AND($B$3&lt;&gt;"",C63&lt;$B$3),AND($B$4&lt;&gt;"",D63&gt;$B$4)),"🔴 Fora do período do projeto. ",""))&amp;IF(B63="","🟡 Informe a etapa. ",IF(COUNTIF('ORÇAMENTO'!$A$8:$A$207,B63)=0,"🟡 Etapa sem despesa no orçamento: quem paga? ",""))&amp;IF(F63="","🟡 Sem responsável. ",""))="","🟢 OK",IF(A63="","",IF(OR(C63="",D63=""),"🟡 Falta data. ",IF(D63&lt;C63,"🔴 Fim antes do início. ","")&amp;IF(OR(AND($B$3&lt;&gt;"",C63&lt;$B$3),AND($B$4&lt;&gt;"",D63&gt;$B$4)),"🔴 Fora do período do projeto. ",""))&amp;IF(B63="","🟡 Informe a etapa. ",IF(COUNTIF('ORÇAMENTO'!$A$8:$A$207,B63)=0,"🟡 Etapa sem despesa no orçamento: quem paga? ",""))&amp;IF(F63="","🟡 Sem responsável. ",""))))</f>
        <v/>
      </c>
      <c r="I63" s="31">
        <f>IF(OR($C63="",$D63="",I$7=""),"",IF(AND($C63&lt;=EOMONTH(I$7,0),$D63&gt;=I$7),"■",""))</f>
        <v/>
      </c>
      <c r="J63" s="31">
        <f>IF(OR($C63="",$D63="",J$7=""),"",IF(AND($C63&lt;=EOMONTH(J$7,0),$D63&gt;=J$7),"■",""))</f>
        <v/>
      </c>
      <c r="K63" s="31">
        <f>IF(OR($C63="",$D63="",K$7=""),"",IF(AND($C63&lt;=EOMONTH(K$7,0),$D63&gt;=K$7),"■",""))</f>
        <v/>
      </c>
      <c r="L63" s="31">
        <f>IF(OR($C63="",$D63="",L$7=""),"",IF(AND($C63&lt;=EOMONTH(L$7,0),$D63&gt;=L$7),"■",""))</f>
        <v/>
      </c>
      <c r="M63" s="31">
        <f>IF(OR($C63="",$D63="",M$7=""),"",IF(AND($C63&lt;=EOMONTH(M$7,0),$D63&gt;=M$7),"■",""))</f>
        <v/>
      </c>
      <c r="N63" s="31">
        <f>IF(OR($C63="",$D63="",N$7=""),"",IF(AND($C63&lt;=EOMONTH(N$7,0),$D63&gt;=N$7),"■",""))</f>
        <v/>
      </c>
      <c r="O63" s="31">
        <f>IF(OR($C63="",$D63="",O$7=""),"",IF(AND($C63&lt;=EOMONTH(O$7,0),$D63&gt;=O$7),"■",""))</f>
        <v/>
      </c>
      <c r="P63" s="31">
        <f>IF(OR($C63="",$D63="",P$7=""),"",IF(AND($C63&lt;=EOMONTH(P$7,0),$D63&gt;=P$7),"■",""))</f>
        <v/>
      </c>
      <c r="Q63" s="31">
        <f>IF(OR($C63="",$D63="",Q$7=""),"",IF(AND($C63&lt;=EOMONTH(Q$7,0),$D63&gt;=Q$7),"■",""))</f>
        <v/>
      </c>
      <c r="R63" s="31">
        <f>IF(OR($C63="",$D63="",R$7=""),"",IF(AND($C63&lt;=EOMONTH(R$7,0),$D63&gt;=R$7),"■",""))</f>
        <v/>
      </c>
      <c r="S63" s="31">
        <f>IF(OR($C63="",$D63="",S$7=""),"",IF(AND($C63&lt;=EOMONTH(S$7,0),$D63&gt;=S$7),"■",""))</f>
        <v/>
      </c>
      <c r="T63" s="31">
        <f>IF(OR($C63="",$D63="",T$7=""),"",IF(AND($C63&lt;=EOMONTH(T$7,0),$D63&gt;=T$7),"■",""))</f>
        <v/>
      </c>
      <c r="U63" s="31">
        <f>IF(OR($C63="",$D63="",U$7=""),"",IF(AND($C63&lt;=EOMONTH(U$7,0),$D63&gt;=U$7),"■",""))</f>
        <v/>
      </c>
      <c r="V63" s="31">
        <f>IF(OR($C63="",$D63="",V$7=""),"",IF(AND($C63&lt;=EOMONTH(V$7,0),$D63&gt;=V$7),"■",""))</f>
        <v/>
      </c>
      <c r="W63" s="31">
        <f>IF(OR($C63="",$D63="",W$7=""),"",IF(AND($C63&lt;=EOMONTH(W$7,0),$D63&gt;=W$7),"■",""))</f>
        <v/>
      </c>
      <c r="X63" s="31">
        <f>IF(OR($C63="",$D63="",X$7=""),"",IF(AND($C63&lt;=EOMONTH(X$7,0),$D63&gt;=X$7),"■",""))</f>
        <v/>
      </c>
      <c r="Y63" s="31">
        <f>IF(OR($C63="",$D63="",Y$7=""),"",IF(AND($C63&lt;=EOMONTH(Y$7,0),$D63&gt;=Y$7),"■",""))</f>
        <v/>
      </c>
      <c r="Z63" s="31">
        <f>IF(OR($C63="",$D63="",Z$7=""),"",IF(AND($C63&lt;=EOMONTH(Z$7,0),$D63&gt;=Z$7),"■",""))</f>
        <v/>
      </c>
    </row>
    <row r="64">
      <c r="A64" s="20" t="n"/>
      <c r="B64" s="20" t="n"/>
      <c r="C64" s="30" t="n"/>
      <c r="D64" s="30" t="n"/>
      <c r="E64" s="21">
        <f>IF(OR(C64="",D64=""),"",D64-C64+1)</f>
        <v/>
      </c>
      <c r="F64" s="20" t="n"/>
      <c r="G64" s="20" t="n"/>
      <c r="H64" s="21">
        <f>IF(A64="","",IF(IF(A64="","",IF(OR(C64="",D64=""),"🟡 Falta data. ",IF(D64&lt;C64,"🔴 Fim antes do início. ","")&amp;IF(OR(AND($B$3&lt;&gt;"",C64&lt;$B$3),AND($B$4&lt;&gt;"",D64&gt;$B$4)),"🔴 Fora do período do projeto. ",""))&amp;IF(B64="","🟡 Informe a etapa. ",IF(COUNTIF('ORÇAMENTO'!$A$8:$A$207,B64)=0,"🟡 Etapa sem despesa no orçamento: quem paga? ",""))&amp;IF(F64="","🟡 Sem responsável. ",""))="","🟢 OK",IF(A64="","",IF(OR(C64="",D64=""),"🟡 Falta data. ",IF(D64&lt;C64,"🔴 Fim antes do início. ","")&amp;IF(OR(AND($B$3&lt;&gt;"",C64&lt;$B$3),AND($B$4&lt;&gt;"",D64&gt;$B$4)),"🔴 Fora do período do projeto. ",""))&amp;IF(B64="","🟡 Informe a etapa. ",IF(COUNTIF('ORÇAMENTO'!$A$8:$A$207,B64)=0,"🟡 Etapa sem despesa no orçamento: quem paga? ",""))&amp;IF(F64="","🟡 Sem responsável. ",""))))</f>
        <v/>
      </c>
      <c r="I64" s="31">
        <f>IF(OR($C64="",$D64="",I$7=""),"",IF(AND($C64&lt;=EOMONTH(I$7,0),$D64&gt;=I$7),"■",""))</f>
        <v/>
      </c>
      <c r="J64" s="31">
        <f>IF(OR($C64="",$D64="",J$7=""),"",IF(AND($C64&lt;=EOMONTH(J$7,0),$D64&gt;=J$7),"■",""))</f>
        <v/>
      </c>
      <c r="K64" s="31">
        <f>IF(OR($C64="",$D64="",K$7=""),"",IF(AND($C64&lt;=EOMONTH(K$7,0),$D64&gt;=K$7),"■",""))</f>
        <v/>
      </c>
      <c r="L64" s="31">
        <f>IF(OR($C64="",$D64="",L$7=""),"",IF(AND($C64&lt;=EOMONTH(L$7,0),$D64&gt;=L$7),"■",""))</f>
        <v/>
      </c>
      <c r="M64" s="31">
        <f>IF(OR($C64="",$D64="",M$7=""),"",IF(AND($C64&lt;=EOMONTH(M$7,0),$D64&gt;=M$7),"■",""))</f>
        <v/>
      </c>
      <c r="N64" s="31">
        <f>IF(OR($C64="",$D64="",N$7=""),"",IF(AND($C64&lt;=EOMONTH(N$7,0),$D64&gt;=N$7),"■",""))</f>
        <v/>
      </c>
      <c r="O64" s="31">
        <f>IF(OR($C64="",$D64="",O$7=""),"",IF(AND($C64&lt;=EOMONTH(O$7,0),$D64&gt;=O$7),"■",""))</f>
        <v/>
      </c>
      <c r="P64" s="31">
        <f>IF(OR($C64="",$D64="",P$7=""),"",IF(AND($C64&lt;=EOMONTH(P$7,0),$D64&gt;=P$7),"■",""))</f>
        <v/>
      </c>
      <c r="Q64" s="31">
        <f>IF(OR($C64="",$D64="",Q$7=""),"",IF(AND($C64&lt;=EOMONTH(Q$7,0),$D64&gt;=Q$7),"■",""))</f>
        <v/>
      </c>
      <c r="R64" s="31">
        <f>IF(OR($C64="",$D64="",R$7=""),"",IF(AND($C64&lt;=EOMONTH(R$7,0),$D64&gt;=R$7),"■",""))</f>
        <v/>
      </c>
      <c r="S64" s="31">
        <f>IF(OR($C64="",$D64="",S$7=""),"",IF(AND($C64&lt;=EOMONTH(S$7,0),$D64&gt;=S$7),"■",""))</f>
        <v/>
      </c>
      <c r="T64" s="31">
        <f>IF(OR($C64="",$D64="",T$7=""),"",IF(AND($C64&lt;=EOMONTH(T$7,0),$D64&gt;=T$7),"■",""))</f>
        <v/>
      </c>
      <c r="U64" s="31">
        <f>IF(OR($C64="",$D64="",U$7=""),"",IF(AND($C64&lt;=EOMONTH(U$7,0),$D64&gt;=U$7),"■",""))</f>
        <v/>
      </c>
      <c r="V64" s="31">
        <f>IF(OR($C64="",$D64="",V$7=""),"",IF(AND($C64&lt;=EOMONTH(V$7,0),$D64&gt;=V$7),"■",""))</f>
        <v/>
      </c>
      <c r="W64" s="31">
        <f>IF(OR($C64="",$D64="",W$7=""),"",IF(AND($C64&lt;=EOMONTH(W$7,0),$D64&gt;=W$7),"■",""))</f>
        <v/>
      </c>
      <c r="X64" s="31">
        <f>IF(OR($C64="",$D64="",X$7=""),"",IF(AND($C64&lt;=EOMONTH(X$7,0),$D64&gt;=X$7),"■",""))</f>
        <v/>
      </c>
      <c r="Y64" s="31">
        <f>IF(OR($C64="",$D64="",Y$7=""),"",IF(AND($C64&lt;=EOMONTH(Y$7,0),$D64&gt;=Y$7),"■",""))</f>
        <v/>
      </c>
      <c r="Z64" s="31">
        <f>IF(OR($C64="",$D64="",Z$7=""),"",IF(AND($C64&lt;=EOMONTH(Z$7,0),$D64&gt;=Z$7),"■",""))</f>
        <v/>
      </c>
    </row>
    <row r="65">
      <c r="A65" s="20" t="n"/>
      <c r="B65" s="20" t="n"/>
      <c r="C65" s="30" t="n"/>
      <c r="D65" s="30" t="n"/>
      <c r="E65" s="21">
        <f>IF(OR(C65="",D65=""),"",D65-C65+1)</f>
        <v/>
      </c>
      <c r="F65" s="20" t="n"/>
      <c r="G65" s="20" t="n"/>
      <c r="H65" s="21">
        <f>IF(A65="","",IF(IF(A65="","",IF(OR(C65="",D65=""),"🟡 Falta data. ",IF(D65&lt;C65,"🔴 Fim antes do início. ","")&amp;IF(OR(AND($B$3&lt;&gt;"",C65&lt;$B$3),AND($B$4&lt;&gt;"",D65&gt;$B$4)),"🔴 Fora do período do projeto. ",""))&amp;IF(B65="","🟡 Informe a etapa. ",IF(COUNTIF('ORÇAMENTO'!$A$8:$A$207,B65)=0,"🟡 Etapa sem despesa no orçamento: quem paga? ",""))&amp;IF(F65="","🟡 Sem responsável. ",""))="","🟢 OK",IF(A65="","",IF(OR(C65="",D65=""),"🟡 Falta data. ",IF(D65&lt;C65,"🔴 Fim antes do início. ","")&amp;IF(OR(AND($B$3&lt;&gt;"",C65&lt;$B$3),AND($B$4&lt;&gt;"",D65&gt;$B$4)),"🔴 Fora do período do projeto. ",""))&amp;IF(B65="","🟡 Informe a etapa. ",IF(COUNTIF('ORÇAMENTO'!$A$8:$A$207,B65)=0,"🟡 Etapa sem despesa no orçamento: quem paga? ",""))&amp;IF(F65="","🟡 Sem responsável. ",""))))</f>
        <v/>
      </c>
      <c r="I65" s="31">
        <f>IF(OR($C65="",$D65="",I$7=""),"",IF(AND($C65&lt;=EOMONTH(I$7,0),$D65&gt;=I$7),"■",""))</f>
        <v/>
      </c>
      <c r="J65" s="31">
        <f>IF(OR($C65="",$D65="",J$7=""),"",IF(AND($C65&lt;=EOMONTH(J$7,0),$D65&gt;=J$7),"■",""))</f>
        <v/>
      </c>
      <c r="K65" s="31">
        <f>IF(OR($C65="",$D65="",K$7=""),"",IF(AND($C65&lt;=EOMONTH(K$7,0),$D65&gt;=K$7),"■",""))</f>
        <v/>
      </c>
      <c r="L65" s="31">
        <f>IF(OR($C65="",$D65="",L$7=""),"",IF(AND($C65&lt;=EOMONTH(L$7,0),$D65&gt;=L$7),"■",""))</f>
        <v/>
      </c>
      <c r="M65" s="31">
        <f>IF(OR($C65="",$D65="",M$7=""),"",IF(AND($C65&lt;=EOMONTH(M$7,0),$D65&gt;=M$7),"■",""))</f>
        <v/>
      </c>
      <c r="N65" s="31">
        <f>IF(OR($C65="",$D65="",N$7=""),"",IF(AND($C65&lt;=EOMONTH(N$7,0),$D65&gt;=N$7),"■",""))</f>
        <v/>
      </c>
      <c r="O65" s="31">
        <f>IF(OR($C65="",$D65="",O$7=""),"",IF(AND($C65&lt;=EOMONTH(O$7,0),$D65&gt;=O$7),"■",""))</f>
        <v/>
      </c>
      <c r="P65" s="31">
        <f>IF(OR($C65="",$D65="",P$7=""),"",IF(AND($C65&lt;=EOMONTH(P$7,0),$D65&gt;=P$7),"■",""))</f>
        <v/>
      </c>
      <c r="Q65" s="31">
        <f>IF(OR($C65="",$D65="",Q$7=""),"",IF(AND($C65&lt;=EOMONTH(Q$7,0),$D65&gt;=Q$7),"■",""))</f>
        <v/>
      </c>
      <c r="R65" s="31">
        <f>IF(OR($C65="",$D65="",R$7=""),"",IF(AND($C65&lt;=EOMONTH(R$7,0),$D65&gt;=R$7),"■",""))</f>
        <v/>
      </c>
      <c r="S65" s="31">
        <f>IF(OR($C65="",$D65="",S$7=""),"",IF(AND($C65&lt;=EOMONTH(S$7,0),$D65&gt;=S$7),"■",""))</f>
        <v/>
      </c>
      <c r="T65" s="31">
        <f>IF(OR($C65="",$D65="",T$7=""),"",IF(AND($C65&lt;=EOMONTH(T$7,0),$D65&gt;=T$7),"■",""))</f>
        <v/>
      </c>
      <c r="U65" s="31">
        <f>IF(OR($C65="",$D65="",U$7=""),"",IF(AND($C65&lt;=EOMONTH(U$7,0),$D65&gt;=U$7),"■",""))</f>
        <v/>
      </c>
      <c r="V65" s="31">
        <f>IF(OR($C65="",$D65="",V$7=""),"",IF(AND($C65&lt;=EOMONTH(V$7,0),$D65&gt;=V$7),"■",""))</f>
        <v/>
      </c>
      <c r="W65" s="31">
        <f>IF(OR($C65="",$D65="",W$7=""),"",IF(AND($C65&lt;=EOMONTH(W$7,0),$D65&gt;=W$7),"■",""))</f>
        <v/>
      </c>
      <c r="X65" s="31">
        <f>IF(OR($C65="",$D65="",X$7=""),"",IF(AND($C65&lt;=EOMONTH(X$7,0),$D65&gt;=X$7),"■",""))</f>
        <v/>
      </c>
      <c r="Y65" s="31">
        <f>IF(OR($C65="",$D65="",Y$7=""),"",IF(AND($C65&lt;=EOMONTH(Y$7,0),$D65&gt;=Y$7),"■",""))</f>
        <v/>
      </c>
      <c r="Z65" s="31">
        <f>IF(OR($C65="",$D65="",Z$7=""),"",IF(AND($C65&lt;=EOMONTH(Z$7,0),$D65&gt;=Z$7),"■",""))</f>
        <v/>
      </c>
    </row>
    <row r="66">
      <c r="A66" s="20" t="n"/>
      <c r="B66" s="20" t="n"/>
      <c r="C66" s="30" t="n"/>
      <c r="D66" s="30" t="n"/>
      <c r="E66" s="21">
        <f>IF(OR(C66="",D66=""),"",D66-C66+1)</f>
        <v/>
      </c>
      <c r="F66" s="20" t="n"/>
      <c r="G66" s="20" t="n"/>
      <c r="H66" s="21">
        <f>IF(A66="","",IF(IF(A66="","",IF(OR(C66="",D66=""),"🟡 Falta data. ",IF(D66&lt;C66,"🔴 Fim antes do início. ","")&amp;IF(OR(AND($B$3&lt;&gt;"",C66&lt;$B$3),AND($B$4&lt;&gt;"",D66&gt;$B$4)),"🔴 Fora do período do projeto. ",""))&amp;IF(B66="","🟡 Informe a etapa. ",IF(COUNTIF('ORÇAMENTO'!$A$8:$A$207,B66)=0,"🟡 Etapa sem despesa no orçamento: quem paga? ",""))&amp;IF(F66="","🟡 Sem responsável. ",""))="","🟢 OK",IF(A66="","",IF(OR(C66="",D66=""),"🟡 Falta data. ",IF(D66&lt;C66,"🔴 Fim antes do início. ","")&amp;IF(OR(AND($B$3&lt;&gt;"",C66&lt;$B$3),AND($B$4&lt;&gt;"",D66&gt;$B$4)),"🔴 Fora do período do projeto. ",""))&amp;IF(B66="","🟡 Informe a etapa. ",IF(COUNTIF('ORÇAMENTO'!$A$8:$A$207,B66)=0,"🟡 Etapa sem despesa no orçamento: quem paga? ",""))&amp;IF(F66="","🟡 Sem responsável. ",""))))</f>
        <v/>
      </c>
      <c r="I66" s="31">
        <f>IF(OR($C66="",$D66="",I$7=""),"",IF(AND($C66&lt;=EOMONTH(I$7,0),$D66&gt;=I$7),"■",""))</f>
        <v/>
      </c>
      <c r="J66" s="31">
        <f>IF(OR($C66="",$D66="",J$7=""),"",IF(AND($C66&lt;=EOMONTH(J$7,0),$D66&gt;=J$7),"■",""))</f>
        <v/>
      </c>
      <c r="K66" s="31">
        <f>IF(OR($C66="",$D66="",K$7=""),"",IF(AND($C66&lt;=EOMONTH(K$7,0),$D66&gt;=K$7),"■",""))</f>
        <v/>
      </c>
      <c r="L66" s="31">
        <f>IF(OR($C66="",$D66="",L$7=""),"",IF(AND($C66&lt;=EOMONTH(L$7,0),$D66&gt;=L$7),"■",""))</f>
        <v/>
      </c>
      <c r="M66" s="31">
        <f>IF(OR($C66="",$D66="",M$7=""),"",IF(AND($C66&lt;=EOMONTH(M$7,0),$D66&gt;=M$7),"■",""))</f>
        <v/>
      </c>
      <c r="N66" s="31">
        <f>IF(OR($C66="",$D66="",N$7=""),"",IF(AND($C66&lt;=EOMONTH(N$7,0),$D66&gt;=N$7),"■",""))</f>
        <v/>
      </c>
      <c r="O66" s="31">
        <f>IF(OR($C66="",$D66="",O$7=""),"",IF(AND($C66&lt;=EOMONTH(O$7,0),$D66&gt;=O$7),"■",""))</f>
        <v/>
      </c>
      <c r="P66" s="31">
        <f>IF(OR($C66="",$D66="",P$7=""),"",IF(AND($C66&lt;=EOMONTH(P$7,0),$D66&gt;=P$7),"■",""))</f>
        <v/>
      </c>
      <c r="Q66" s="31">
        <f>IF(OR($C66="",$D66="",Q$7=""),"",IF(AND($C66&lt;=EOMONTH(Q$7,0),$D66&gt;=Q$7),"■",""))</f>
        <v/>
      </c>
      <c r="R66" s="31">
        <f>IF(OR($C66="",$D66="",R$7=""),"",IF(AND($C66&lt;=EOMONTH(R$7,0),$D66&gt;=R$7),"■",""))</f>
        <v/>
      </c>
      <c r="S66" s="31">
        <f>IF(OR($C66="",$D66="",S$7=""),"",IF(AND($C66&lt;=EOMONTH(S$7,0),$D66&gt;=S$7),"■",""))</f>
        <v/>
      </c>
      <c r="T66" s="31">
        <f>IF(OR($C66="",$D66="",T$7=""),"",IF(AND($C66&lt;=EOMONTH(T$7,0),$D66&gt;=T$7),"■",""))</f>
        <v/>
      </c>
      <c r="U66" s="31">
        <f>IF(OR($C66="",$D66="",U$7=""),"",IF(AND($C66&lt;=EOMONTH(U$7,0),$D66&gt;=U$7),"■",""))</f>
        <v/>
      </c>
      <c r="V66" s="31">
        <f>IF(OR($C66="",$D66="",V$7=""),"",IF(AND($C66&lt;=EOMONTH(V$7,0),$D66&gt;=V$7),"■",""))</f>
        <v/>
      </c>
      <c r="W66" s="31">
        <f>IF(OR($C66="",$D66="",W$7=""),"",IF(AND($C66&lt;=EOMONTH(W$7,0),$D66&gt;=W$7),"■",""))</f>
        <v/>
      </c>
      <c r="X66" s="31">
        <f>IF(OR($C66="",$D66="",X$7=""),"",IF(AND($C66&lt;=EOMONTH(X$7,0),$D66&gt;=X$7),"■",""))</f>
        <v/>
      </c>
      <c r="Y66" s="31">
        <f>IF(OR($C66="",$D66="",Y$7=""),"",IF(AND($C66&lt;=EOMONTH(Y$7,0),$D66&gt;=Y$7),"■",""))</f>
        <v/>
      </c>
      <c r="Z66" s="31">
        <f>IF(OR($C66="",$D66="",Z$7=""),"",IF(AND($C66&lt;=EOMONTH(Z$7,0),$D66&gt;=Z$7),"■",""))</f>
        <v/>
      </c>
    </row>
    <row r="67">
      <c r="A67" s="20" t="n"/>
      <c r="B67" s="20" t="n"/>
      <c r="C67" s="30" t="n"/>
      <c r="D67" s="30" t="n"/>
      <c r="E67" s="21">
        <f>IF(OR(C67="",D67=""),"",D67-C67+1)</f>
        <v/>
      </c>
      <c r="F67" s="20" t="n"/>
      <c r="G67" s="20" t="n"/>
      <c r="H67" s="21">
        <f>IF(A67="","",IF(IF(A67="","",IF(OR(C67="",D67=""),"🟡 Falta data. ",IF(D67&lt;C67,"🔴 Fim antes do início. ","")&amp;IF(OR(AND($B$3&lt;&gt;"",C67&lt;$B$3),AND($B$4&lt;&gt;"",D67&gt;$B$4)),"🔴 Fora do período do projeto. ",""))&amp;IF(B67="","🟡 Informe a etapa. ",IF(COUNTIF('ORÇAMENTO'!$A$8:$A$207,B67)=0,"🟡 Etapa sem despesa no orçamento: quem paga? ",""))&amp;IF(F67="","🟡 Sem responsável. ",""))="","🟢 OK",IF(A67="","",IF(OR(C67="",D67=""),"🟡 Falta data. ",IF(D67&lt;C67,"🔴 Fim antes do início. ","")&amp;IF(OR(AND($B$3&lt;&gt;"",C67&lt;$B$3),AND($B$4&lt;&gt;"",D67&gt;$B$4)),"🔴 Fora do período do projeto. ",""))&amp;IF(B67="","🟡 Informe a etapa. ",IF(COUNTIF('ORÇAMENTO'!$A$8:$A$207,B67)=0,"🟡 Etapa sem despesa no orçamento: quem paga? ",""))&amp;IF(F67="","🟡 Sem responsável. ",""))))</f>
        <v/>
      </c>
      <c r="I67" s="31">
        <f>IF(OR($C67="",$D67="",I$7=""),"",IF(AND($C67&lt;=EOMONTH(I$7,0),$D67&gt;=I$7),"■",""))</f>
        <v/>
      </c>
      <c r="J67" s="31">
        <f>IF(OR($C67="",$D67="",J$7=""),"",IF(AND($C67&lt;=EOMONTH(J$7,0),$D67&gt;=J$7),"■",""))</f>
        <v/>
      </c>
      <c r="K67" s="31">
        <f>IF(OR($C67="",$D67="",K$7=""),"",IF(AND($C67&lt;=EOMONTH(K$7,0),$D67&gt;=K$7),"■",""))</f>
        <v/>
      </c>
      <c r="L67" s="31">
        <f>IF(OR($C67="",$D67="",L$7=""),"",IF(AND($C67&lt;=EOMONTH(L$7,0),$D67&gt;=L$7),"■",""))</f>
        <v/>
      </c>
      <c r="M67" s="31">
        <f>IF(OR($C67="",$D67="",M$7=""),"",IF(AND($C67&lt;=EOMONTH(M$7,0),$D67&gt;=M$7),"■",""))</f>
        <v/>
      </c>
      <c r="N67" s="31">
        <f>IF(OR($C67="",$D67="",N$7=""),"",IF(AND($C67&lt;=EOMONTH(N$7,0),$D67&gt;=N$7),"■",""))</f>
        <v/>
      </c>
      <c r="O67" s="31">
        <f>IF(OR($C67="",$D67="",O$7=""),"",IF(AND($C67&lt;=EOMONTH(O$7,0),$D67&gt;=O$7),"■",""))</f>
        <v/>
      </c>
      <c r="P67" s="31">
        <f>IF(OR($C67="",$D67="",P$7=""),"",IF(AND($C67&lt;=EOMONTH(P$7,0),$D67&gt;=P$7),"■",""))</f>
        <v/>
      </c>
      <c r="Q67" s="31">
        <f>IF(OR($C67="",$D67="",Q$7=""),"",IF(AND($C67&lt;=EOMONTH(Q$7,0),$D67&gt;=Q$7),"■",""))</f>
        <v/>
      </c>
      <c r="R67" s="31">
        <f>IF(OR($C67="",$D67="",R$7=""),"",IF(AND($C67&lt;=EOMONTH(R$7,0),$D67&gt;=R$7),"■",""))</f>
        <v/>
      </c>
      <c r="S67" s="31">
        <f>IF(OR($C67="",$D67="",S$7=""),"",IF(AND($C67&lt;=EOMONTH(S$7,0),$D67&gt;=S$7),"■",""))</f>
        <v/>
      </c>
      <c r="T67" s="31">
        <f>IF(OR($C67="",$D67="",T$7=""),"",IF(AND($C67&lt;=EOMONTH(T$7,0),$D67&gt;=T$7),"■",""))</f>
        <v/>
      </c>
      <c r="U67" s="31">
        <f>IF(OR($C67="",$D67="",U$7=""),"",IF(AND($C67&lt;=EOMONTH(U$7,0),$D67&gt;=U$7),"■",""))</f>
        <v/>
      </c>
      <c r="V67" s="31">
        <f>IF(OR($C67="",$D67="",V$7=""),"",IF(AND($C67&lt;=EOMONTH(V$7,0),$D67&gt;=V$7),"■",""))</f>
        <v/>
      </c>
      <c r="W67" s="31">
        <f>IF(OR($C67="",$D67="",W$7=""),"",IF(AND($C67&lt;=EOMONTH(W$7,0),$D67&gt;=W$7),"■",""))</f>
        <v/>
      </c>
      <c r="X67" s="31">
        <f>IF(OR($C67="",$D67="",X$7=""),"",IF(AND($C67&lt;=EOMONTH(X$7,0),$D67&gt;=X$7),"■",""))</f>
        <v/>
      </c>
      <c r="Y67" s="31">
        <f>IF(OR($C67="",$D67="",Y$7=""),"",IF(AND($C67&lt;=EOMONTH(Y$7,0),$D67&gt;=Y$7),"■",""))</f>
        <v/>
      </c>
      <c r="Z67" s="31">
        <f>IF(OR($C67="",$D67="",Z$7=""),"",IF(AND($C67&lt;=EOMONTH(Z$7,0),$D67&gt;=Z$7),"■",""))</f>
        <v/>
      </c>
    </row>
  </sheetData>
  <mergeCells count="2">
    <mergeCell ref="A1:Z1"/>
    <mergeCell ref="A2:Z2"/>
  </mergeCells>
  <conditionalFormatting sqref="C5">
    <cfRule type="expression" priority="1" dxfId="0">
      <formula>LEFT(C5,2)="🔴"</formula>
    </cfRule>
    <cfRule type="expression" priority="2" dxfId="1">
      <formula>LEFT(C5,2)="🟡"</formula>
    </cfRule>
    <cfRule type="expression" priority="3" dxfId="2">
      <formula>LEFT(C5,2)="🟢"</formula>
    </cfRule>
    <cfRule type="expression" priority="4" dxfId="0">
      <formula>ISNUMBER(SEARCH("🔴",C5))</formula>
    </cfRule>
    <cfRule type="expression" priority="5" dxfId="1">
      <formula>ISNUMBER(SEARCH("🟡",C5))</formula>
    </cfRule>
  </conditionalFormatting>
  <conditionalFormatting sqref="H8:H67">
    <cfRule type="expression" priority="6" dxfId="0">
      <formula>LEFT(H8,2)="🔴"</formula>
    </cfRule>
    <cfRule type="expression" priority="7" dxfId="1">
      <formula>LEFT(H8,2)="🟡"</formula>
    </cfRule>
    <cfRule type="expression" priority="8" dxfId="2">
      <formula>LEFT(H8,2)="🟢"</formula>
    </cfRule>
    <cfRule type="expression" priority="9" dxfId="0">
      <formula>ISNUMBER(SEARCH("🔴",H8))</formula>
    </cfRule>
    <cfRule type="expression" priority="10" dxfId="1">
      <formula>ISNUMBER(SEARCH("🟡",H8))</formula>
    </cfRule>
  </conditionalFormatting>
  <conditionalFormatting sqref="I8:Z67">
    <cfRule type="expression" priority="11" dxfId="3">
      <formula>I8="■"</formula>
    </cfRule>
  </conditionalFormatting>
  <dataValidations count="1">
    <dataValidation sqref="B8:B67" showDropDown="0" showInputMessage="0" showErrorMessage="0" allowBlank="1" error="Escolha uma opção da lista." type="list">
      <formula1>=LISTA_ETAPAS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6" customWidth="1" min="3" max="3"/>
    <col width="26" customWidth="1" min="4" max="4"/>
    <col width="14" customWidth="1" min="5" max="5"/>
    <col width="12" customWidth="1" min="6" max="6"/>
    <col width="26" customWidth="1" min="7" max="7"/>
    <col width="50" customWidth="1" min="8" max="8"/>
  </cols>
  <sheetData>
    <row r="1" ht="30" customHeight="1">
      <c r="A1" s="1" t="inlineStr">
        <is>
          <t>CALCULADORA F — PLANO DE DISTRIBUIÇÃO E DEMOCRATIZAÇÃO</t>
        </is>
      </c>
    </row>
    <row r="2" ht="45" customHeight="1">
      <c r="A2" s="2" t="inlineStr">
        <is>
          <t>Para projetos com ingressos ou produtos (livros, CDs, exemplares). Se o seu projeto é 100% gratuito, informe tudo em 'gratuita social/educativa' e 'demais gratuitos' e registre isso no Salic.</t>
        </is>
      </c>
    </row>
    <row r="4">
      <c r="A4" s="5" t="inlineStr">
        <is>
          <t>Total de ingressos / produtos previstos</t>
        </is>
      </c>
      <c r="C4" s="6" t="n"/>
    </row>
    <row r="6" ht="42" customHeight="1">
      <c r="A6" s="14" t="inlineStr">
        <is>
          <t>Faixa</t>
        </is>
      </c>
      <c r="B6" s="14" t="inlineStr">
        <is>
          <t>Quantidade</t>
        </is>
      </c>
      <c r="C6" s="14" t="inlineStr">
        <is>
          <t>VALOR INFORMADO (%)</t>
        </is>
      </c>
      <c r="D6" s="14" t="inlineStr">
        <is>
          <t>BASE DE CÁLCULO</t>
        </is>
      </c>
      <c r="E6" s="14" t="inlineStr">
        <is>
          <t>LIMITE APLICÁVEL</t>
        </is>
      </c>
      <c r="F6" s="14" t="inlineStr">
        <is>
          <t>Tipo de limite</t>
        </is>
      </c>
      <c r="G6" s="14" t="inlineStr">
        <is>
          <t>STATUS</t>
        </is>
      </c>
      <c r="H6" s="14" t="inlineStr">
        <is>
          <t>OBSERVAÇÃO</t>
        </is>
      </c>
    </row>
    <row r="7">
      <c r="A7" s="4" t="inlineStr">
        <is>
          <t>Gratuita promocional – patrocinador</t>
        </is>
      </c>
      <c r="B7" s="20" t="n"/>
      <c r="C7" s="27">
        <f>IF(OR($C$4="",$C$4=0,B7=""),"",B7/$C$4)</f>
        <v/>
      </c>
      <c r="D7" s="4" t="inlineStr">
        <is>
          <t>Total de ingressos/produtos</t>
        </is>
      </c>
      <c r="E7" s="32">
        <f>L_DIST_PATROC</f>
        <v/>
      </c>
      <c r="F7" s="4" t="inlineStr">
        <is>
          <t>máximo</t>
        </is>
      </c>
      <c r="G7" s="21">
        <f>IF(C7="","",IF(C7&gt;E7,"🔴 ACIMA DO LIMITE",IF(C7&gt;=E7*MARGEM,"🟡 VERIFICAR","🟢 DENTRO DO LIMITE")))</f>
        <v/>
      </c>
      <c r="H7" s="4" t="inlineStr">
        <is>
          <t>Até o limite; é promocional, não conta como democratização.</t>
        </is>
      </c>
    </row>
    <row r="8">
      <c r="A8" s="4" t="inlineStr">
        <is>
          <t>Gratuita promocional – proponente (divulgação)</t>
        </is>
      </c>
      <c r="B8" s="20" t="n"/>
      <c r="C8" s="27">
        <f>IF(OR($C$4="",$C$4=0,B8=""),"",B8/$C$4)</f>
        <v/>
      </c>
      <c r="D8" s="4" t="inlineStr">
        <is>
          <t>Total de ingressos/produtos</t>
        </is>
      </c>
      <c r="E8" s="32">
        <f>L_DIST_PROPON</f>
        <v/>
      </c>
      <c r="F8" s="4" t="inlineStr">
        <is>
          <t>máximo</t>
        </is>
      </c>
      <c r="G8" s="21">
        <f>IF(C8="","",IF(C8&gt;E8,"🔴 ACIMA DO LIMITE",IF(C8&gt;=E8*MARGEM,"🟡 VERIFICAR","🟢 DENTRO DO LIMITE")))</f>
        <v/>
      </c>
      <c r="H8" s="4" t="inlineStr">
        <is>
          <t>Até o limite; use em ações de divulgação.</t>
        </is>
      </c>
    </row>
    <row r="9">
      <c r="A9" s="4" t="inlineStr">
        <is>
          <t>Gratuita com caráter social/educativo</t>
        </is>
      </c>
      <c r="B9" s="20" t="n"/>
      <c r="C9" s="27">
        <f>IF(OR($C$4="",$C$4=0,B9=""),"",B9/$C$4)</f>
        <v/>
      </c>
      <c r="D9" s="4" t="inlineStr">
        <is>
          <t>Total de ingressos/produtos</t>
        </is>
      </c>
      <c r="E9" s="32">
        <f>L_DIST_SOCIAL</f>
        <v/>
      </c>
      <c r="F9" s="4" t="inlineStr">
        <is>
          <t>mínimo</t>
        </is>
      </c>
      <c r="G9" s="21">
        <f>IF(C9="","🟡 VERIFICAR — informe a quantidade",IF(C9&lt;E9,"🔴 ABAIXO DO MÍNIMO","🟢 DENTRO DO LIMITE"))</f>
        <v/>
      </c>
      <c r="H9" s="4" t="inlineStr">
        <is>
          <t>Diga PARA QUEM (escolas, ONGs, comunidade) no Salic.</t>
        </is>
      </c>
    </row>
    <row r="10">
      <c r="A10" s="4" t="inlineStr">
        <is>
          <t>Comercialização a preço popular</t>
        </is>
      </c>
      <c r="B10" s="20" t="n"/>
      <c r="C10" s="27">
        <f>IF(OR($C$4="",$C$4=0,B10=""),"",B10/$C$4)</f>
        <v/>
      </c>
      <c r="D10" s="4" t="inlineStr">
        <is>
          <t>Total de ingressos/produtos</t>
        </is>
      </c>
      <c r="E10" s="32">
        <f>L_DIST_POPULAR</f>
        <v/>
      </c>
      <c r="F10" s="4" t="inlineStr">
        <is>
          <t>mínimo</t>
        </is>
      </c>
      <c r="G10" s="21">
        <f>IF(C10="","🟡 VERIFICAR — informe a quantidade",IF(AND(SUM($B$10:$B$11)=0,$B$9=$C$4),"🟡 VERIFICAR — projeto 100% gratuito: confirme como declarar no Salic",IF(C10&lt;E10,"🔴 ABAIXO DO MÍNIMO","🟢 DENTRO DO LIMITE")))</f>
        <v/>
      </c>
      <c r="H10" s="4" t="inlineStr">
        <is>
          <t>Preço unitário não pode passar do teto de preço popular.</t>
        </is>
      </c>
    </row>
    <row r="11">
      <c r="A11" s="4" t="inlineStr">
        <is>
          <t>Demais (comercialização ou outras gratuidades)</t>
        </is>
      </c>
      <c r="B11" s="20" t="n"/>
      <c r="C11" s="27">
        <f>IF(OR($C$4="",$C$4=0,B11=""),"",B11/$C$4)</f>
        <v/>
      </c>
      <c r="D11" s="4" t="inlineStr">
        <is>
          <t>Total de ingressos/produtos</t>
        </is>
      </c>
      <c r="E11" s="32" t="n"/>
      <c r="F11" s="4" t="inlineStr">
        <is>
          <t>—</t>
        </is>
      </c>
      <c r="G11" s="21" t="n"/>
      <c r="H11" s="4" t="inlineStr">
        <is>
          <t>Restante. Confira o preço médio abaixo.</t>
        </is>
      </c>
    </row>
    <row r="12">
      <c r="A12" s="5" t="inlineStr">
        <is>
          <t>Soma das faixas</t>
        </is>
      </c>
      <c r="B12">
        <f>SUM(B7:B11)</f>
        <v/>
      </c>
      <c r="C12">
        <f>IF(OR(C4="",C4=0),"",IF(B12=C4,"🟢 Soma confere com o total","🔴 Soma das faixas ≠ total informado"))</f>
        <v/>
      </c>
    </row>
    <row r="14">
      <c r="A14" s="5" t="inlineStr">
        <is>
          <t>Preço do ingresso popular (R$)</t>
        </is>
      </c>
      <c r="B14" s="33" t="n"/>
      <c r="C14">
        <f>IF(B14="","",IF(B14&gt;L_PRECO_POPULAR,"🔴 Acima do teto de preço popular","🟢 DENTRO DO LIMITE"))</f>
        <v/>
      </c>
    </row>
    <row r="15">
      <c r="A15" s="5" t="inlineStr">
        <is>
          <t>Receita total prevista com vendas (R$)</t>
        </is>
      </c>
      <c r="B15" s="33" t="n"/>
    </row>
    <row r="16">
      <c r="A16" s="5" t="inlineStr">
        <is>
          <t>Quantidade total comercializada</t>
        </is>
      </c>
      <c r="B16" s="6" t="n"/>
    </row>
    <row r="17">
      <c r="A17" s="5" t="inlineStr">
        <is>
          <t>Preço médio (R$)</t>
        </is>
      </c>
      <c r="B17" s="34">
        <f>IF(OR(B16="",B16=0),"",B15/B16)</f>
        <v/>
      </c>
      <c r="C17">
        <f>IF(B17="","",IF(B17&gt;L_TICKET_MEDIO,"🔴 Preço médio acima do teto configurado (confira a IN)","🟢 DENTRO DO LIMITE"))</f>
        <v/>
      </c>
    </row>
    <row r="19">
      <c r="A19" s="5" t="inlineStr">
        <is>
          <t>Medida adicional de ampliação de acesso prevista? (descreva)</t>
        </is>
      </c>
      <c r="B19" s="6" t="n"/>
    </row>
    <row r="20">
      <c r="A20" s="5" t="inlineStr">
        <is>
          <t>Ações formativas / de acesso vinculadas (descreva)</t>
        </is>
      </c>
      <c r="B20" s="6" t="n"/>
    </row>
  </sheetData>
  <mergeCells count="4">
    <mergeCell ref="B19:H19"/>
    <mergeCell ref="B20:H20"/>
    <mergeCell ref="A2:H2"/>
    <mergeCell ref="A1:H1"/>
  </mergeCells>
  <conditionalFormatting sqref="G7:G11">
    <cfRule type="expression" priority="1" dxfId="0">
      <formula>LEFT(G7,2)="🔴"</formula>
    </cfRule>
    <cfRule type="expression" priority="2" dxfId="1">
      <formula>LEFT(G7,2)="🟡"</formula>
    </cfRule>
    <cfRule type="expression" priority="3" dxfId="2">
      <formula>LEFT(G7,2)="🟢"</formula>
    </cfRule>
    <cfRule type="expression" priority="4" dxfId="0">
      <formula>ISNUMBER(SEARCH("🔴",G7))</formula>
    </cfRule>
    <cfRule type="expression" priority="5" dxfId="1">
      <formula>ISNUMBER(SEARCH("🟡",G7))</formula>
    </cfRule>
  </conditionalFormatting>
  <conditionalFormatting sqref="C12:C17">
    <cfRule type="expression" priority="6" dxfId="0">
      <formula>LEFT(C12,2)="🔴"</formula>
    </cfRule>
    <cfRule type="expression" priority="7" dxfId="1">
      <formula>LEFT(C12,2)="🟡"</formula>
    </cfRule>
    <cfRule type="expression" priority="8" dxfId="2">
      <formula>LEFT(C12,2)="🟢"</formula>
    </cfRule>
    <cfRule type="expression" priority="9" dxfId="0">
      <formula>ISNUMBER(SEARCH("🔴",C12))</formula>
    </cfRule>
    <cfRule type="expression" priority="10" dxfId="1">
      <formula>ISNUMBER(SEARCH("🟡",C12))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26" customWidth="1" min="3" max="3"/>
    <col width="18" customWidth="1" min="4" max="4"/>
    <col width="20" customWidth="1" min="5" max="5"/>
    <col width="16" customWidth="1" min="6" max="6"/>
    <col width="44" customWidth="1" min="7" max="7"/>
    <col width="60" customWidth="1" min="8" max="8"/>
  </cols>
  <sheetData>
    <row r="1" ht="30" customHeight="1">
      <c r="A1" s="1" t="inlineStr">
        <is>
          <t>PLANILHA 4 — RADAR DE LIMITES (CALCULADORAS A–H)</t>
        </is>
      </c>
    </row>
    <row r="2" ht="45" customHeight="1">
      <c r="A2" s="2" t="inlineStr">
        <is>
          <t>Cada linha usa a BASE DE CÁLCULO prevista na IN 29/2026: remuneração do proponente e fornecedor → VALOR CAPTADO; administração, divulgação, acessibilidade e captação → VALOR DO PROJETO. Resultado é conferência prévia; o Salic e a análise do MinC prevalecem.</t>
        </is>
      </c>
    </row>
    <row r="4" ht="42" customHeight="1">
      <c r="A4" s="14" t="inlineStr">
        <is>
          <t>ENTRADAS</t>
        </is>
      </c>
      <c r="B4" s="14" t="inlineStr">
        <is>
          <t>VALOR</t>
        </is>
      </c>
      <c r="C4" s="14" t="inlineStr"/>
      <c r="D4" s="14" t="inlineStr">
        <is>
          <t>COMO PREENCHER</t>
        </is>
      </c>
    </row>
    <row r="5" ht="32" customHeight="1">
      <c r="A5" s="4" t="inlineStr">
        <is>
          <t>Tipo de proponente</t>
        </is>
      </c>
      <c r="B5" s="35" t="n"/>
      <c r="D5" s="4" t="inlineStr">
        <is>
          <t>Escolha: Pessoa física / MEI / Demais pessoa jurídica</t>
        </is>
      </c>
    </row>
    <row r="6" ht="32" customHeight="1">
      <c r="A6" s="4" t="inlineStr">
        <is>
          <t>A remuneração se enquadra em exceção? (grupo artístico familiar, corpo artístico estável, grupo/coletivo que atua na execução)</t>
        </is>
      </c>
      <c r="B6" s="35" t="inlineStr">
        <is>
          <t>Não</t>
        </is>
      </c>
      <c r="D6" s="4" t="inlineStr">
        <is>
          <t>Se Sim, a planilha marca 🟡 VERIFICAR: confirme o enquadramento no texto oficial.</t>
        </is>
      </c>
    </row>
    <row r="7" ht="32" customHeight="1">
      <c r="A7" s="4" t="inlineStr">
        <is>
          <t>VALOR DO PROJETO (calculado: soma das linhas 'Incentivo')</t>
        </is>
      </c>
      <c r="B7" s="36">
        <f>VALOR_INCENTIVO</f>
        <v/>
      </c>
      <c r="D7" s="4" t="inlineStr">
        <is>
          <t>Soma automática do orçamento com fonte Incentivo fiscal.</t>
        </is>
      </c>
    </row>
    <row r="8" ht="32" customHeight="1">
      <c r="A8" s="4" t="inlineStr">
        <is>
          <t>VALOR DO PROJETO exibido no Salic (opcional — sobrescreve)</t>
        </is>
      </c>
      <c r="B8" s="37" t="n"/>
      <c r="D8" s="4" t="inlineStr">
        <is>
          <t>Se o Salic mostrar valor diferente (ex.: após cálculo dos custos vinculados), digite aqui.</t>
        </is>
      </c>
    </row>
    <row r="9" ht="32" customHeight="1">
      <c r="A9" s="4" t="inlineStr">
        <is>
          <t>VALOR DO PROJETO usado nas contas</t>
        </is>
      </c>
      <c r="B9" s="36">
        <f>IF(AND(B8&lt;&gt;"",B8&gt;0),B8,B7)</f>
        <v/>
      </c>
      <c r="D9" s="4" t="inlineStr">
        <is>
          <t>Base para administração, divulgação, acessibilidade e captação.</t>
        </is>
      </c>
    </row>
    <row r="10" ht="32" customHeight="1">
      <c r="A10" s="4" t="inlineStr">
        <is>
          <t>VALOR TOTAL DO PROJETO (todas as fontes)</t>
        </is>
      </c>
      <c r="B10" s="36">
        <f>VALOR_TOTAL</f>
        <v/>
      </c>
      <c r="D10" s="4" t="inlineStr">
        <is>
          <t>Incentivo + outras fontes. Não é base dos limites percentuais do kit.</t>
        </is>
      </c>
    </row>
    <row r="11" ht="32" customHeight="1">
      <c r="A11" s="4" t="inlineStr">
        <is>
          <t>Cenário de captação (% do valor do projeto que você espera captar)</t>
        </is>
      </c>
      <c r="B11" s="38" t="n">
        <v>1</v>
      </c>
      <c r="D11" s="4" t="inlineStr">
        <is>
          <t>Teste 100%, 75% e 50%. Remuneração e fornecedor são medidos sobre o que for CAPTADO.</t>
        </is>
      </c>
    </row>
    <row r="12" ht="32" customHeight="1">
      <c r="A12" s="4" t="inlineStr">
        <is>
          <t>VALOR CAPTADO (cenário)</t>
        </is>
      </c>
      <c r="B12" s="36">
        <f>B9*B11</f>
        <v/>
      </c>
      <c r="D12" s="4" t="inlineStr">
        <is>
          <t>Base para remuneração do proponente e limite por fornecedor.</t>
        </is>
      </c>
    </row>
    <row r="13" ht="32" customHeight="1">
      <c r="A13" s="4" t="inlineStr">
        <is>
          <t>É o seu PRIMEIRO projeto apresentado ao Pronac?</t>
        </is>
      </c>
      <c r="B13" s="35" t="n"/>
      <c r="D13" s="4" t="inlineStr">
        <is>
          <t>Sim / Não</t>
        </is>
      </c>
    </row>
    <row r="14" ht="32" customHeight="1">
      <c r="A14" s="4" t="inlineStr">
        <is>
          <t>Nº de projetos ativos que você já tem (sem contar este)</t>
        </is>
      </c>
      <c r="B14" s="39" t="n">
        <v>0</v>
      </c>
      <c r="D14" s="4" t="inlineStr">
        <is>
          <t>Consulte seus projetos no Salic.</t>
        </is>
      </c>
    </row>
    <row r="15" ht="32" customHeight="1">
      <c r="A15" s="4" t="inlineStr">
        <is>
          <t>Soma dos valores dos projetos ativos (sem contar este)</t>
        </is>
      </c>
      <c r="B15" s="37" t="n">
        <v>0</v>
      </c>
      <c r="D15" s="4" t="inlineStr">
        <is>
          <t>Para conferir o teto global.</t>
        </is>
      </c>
    </row>
    <row r="16" ht="32" customHeight="1">
      <c r="A16" s="4" t="inlineStr">
        <is>
          <t>Nº estimado de beneficiários / público total</t>
        </is>
      </c>
      <c r="B16" s="40" t="n"/>
      <c r="D16" s="4" t="inlineStr">
        <is>
          <t>Para a calculadora H (valor por beneficiário).</t>
        </is>
      </c>
    </row>
    <row r="19" ht="42" customHeight="1">
      <c r="A19" s="14" t="inlineStr">
        <is>
          <t>CALCULADORA</t>
        </is>
      </c>
      <c r="B19" s="14" t="inlineStr">
        <is>
          <t>VALOR INFORMADO</t>
        </is>
      </c>
      <c r="C19" s="14" t="inlineStr">
        <is>
          <t>BASE DE CÁLCULO</t>
        </is>
      </c>
      <c r="D19" s="14" t="inlineStr">
        <is>
          <t>BASE (R$)</t>
        </is>
      </c>
      <c r="E19" s="14" t="inlineStr">
        <is>
          <t>LIMITE APLICÁVEL</t>
        </is>
      </c>
      <c r="F19" s="14" t="inlineStr">
        <is>
          <t>PERCENTUAL RESULTANTE</t>
        </is>
      </c>
      <c r="G19" s="14" t="inlineStr">
        <is>
          <t>STATUS</t>
        </is>
      </c>
      <c r="H19" s="14" t="inlineStr">
        <is>
          <t>OBSERVAÇÃO</t>
        </is>
      </c>
    </row>
    <row r="20" ht="48" customHeight="1">
      <c r="A20" s="4" t="inlineStr">
        <is>
          <t>A. Remuneração do proponente (inclui cônjuge/companheiro, coligada, sócio em comum)</t>
        </is>
      </c>
      <c r="B20" s="26">
        <f>SUMIFS('ORÇAMENTO'!$G$8:$G$207,'ORÇAMENTO'!$K$8:$K$207,"Remuneração do proponente",'ORÇAMENTO'!$H$8:$H$207,"Incentivo*")+SUMIFS('ORÇAMENTO'!$G$8:$G$207,'ORÇAMENTO'!$L$8:$L$207,"Sim",'ORÇAMENTO'!$K$8:$K$207,"&lt;&gt;Remuneração do proponente",'ORÇAMENTO'!$H$8:$H$207,"Incentivo*")</f>
        <v/>
      </c>
      <c r="C20" s="4" t="inlineStr">
        <is>
          <t>VALOR CAPTADO</t>
        </is>
      </c>
      <c r="D20" s="26">
        <f>VALOR_CAPTADO</f>
        <v/>
      </c>
      <c r="E20" s="32">
        <f>IF(OR(TIPO_PROP="Pessoa física",TIPO_PROP="MEI"),L_REM_PFMEI,L_REM_GERAL)</f>
        <v/>
      </c>
      <c r="F20" s="27">
        <f>IF(OR(D20="",D20=0),"",B20/D20)</f>
        <v/>
      </c>
      <c r="G20" s="21">
        <f>IF(F20="","",IF('RADAR DE LIMITES'!$B$6="Sim","🟡 VERIFICAR — exceção declarada: confirme o enquadramento",IF(TIPO_PROP="","🟡 VERIFICAR — informe o tipo de proponente",IF(OR(F20="",E20=""),"",IF(F20&gt;E20,"🔴 ACIMA DO LIMITE",IF(F20&gt;=E20*MARGEM,"🟡 VERIFICAR","🟢 DENTRO DO LIMITE"))))))</f>
        <v/>
      </c>
      <c r="H20" s="4" t="inlineStr">
        <is>
          <t>Proponente só recebe se PRESTAR serviço previsto no orçamento analítico. Se captar menos, o limite em R$ diminui.</t>
        </is>
      </c>
    </row>
    <row r="21" ht="48" customHeight="1">
      <c r="A21" s="4" t="inlineStr">
        <is>
          <t>B. Maior fornecedor (mesmo fornecedor, soma de todas as linhas)</t>
        </is>
      </c>
      <c r="B21" s="26">
        <f>IFERROR(MAX('ORÇAMENTO'!$P$8:$P$207)*VALOR_CAPTADO,0)</f>
        <v/>
      </c>
      <c r="C21" s="4" t="inlineStr">
        <is>
          <t>VALOR CAPTADO</t>
        </is>
      </c>
      <c r="D21" s="26">
        <f>VALOR_CAPTADO</f>
        <v/>
      </c>
      <c r="E21" s="32">
        <f>L_FORNECEDOR</f>
        <v/>
      </c>
      <c r="F21" s="27">
        <f>IF(OR(D21="",D21=0),"",B21/D21)</f>
        <v/>
      </c>
      <c r="G21" s="21">
        <f>IF(OR(F21="",E21=""),"",IF(F21&gt;E21,"🔴 ACIMA DO LIMITE",IF(F21&gt;=E21*MARGEM,"🟡 VERIFICAR","🟢 DENTRO DO LIMITE")))</f>
        <v/>
      </c>
      <c r="H21" s="4" t="inlineStr">
        <is>
          <t>Veja a coluna P do ORÇAMENTO para saber qual fornecedor. Há exceções na IN (ex.: restauro de bens culturais).</t>
        </is>
      </c>
    </row>
    <row r="22" ht="48" customHeight="1">
      <c r="A22" s="4" t="inlineStr">
        <is>
          <t>C. Custos de administração</t>
        </is>
      </c>
      <c r="B22" s="26">
        <f>SUMIFS('ORÇAMENTO'!$G$8:$G$207,'ORÇAMENTO'!$K$8:$K$207,"Custos de administração",'ORÇAMENTO'!$H$8:$H$207,"Incentivo*")</f>
        <v/>
      </c>
      <c r="C22" s="4" t="inlineStr">
        <is>
          <t>VALOR DO PROJETO</t>
        </is>
      </c>
      <c r="D22" s="26">
        <f>VALOR_PROJETO</f>
        <v/>
      </c>
      <c r="E22" s="32">
        <f>L_ADM</f>
        <v/>
      </c>
      <c r="F22" s="27">
        <f>IF(OR(D22="",D22=0),"",B22/D22)</f>
        <v/>
      </c>
      <c r="G22" s="21">
        <f>IF(OR(F22="",E22=""),"",IF(F22&gt;E22,"🔴 ACIMA DO LIMITE",IF(F22&gt;=E22*MARGEM,"🟡 VERIFICAR","🟢 DENTRO DO LIMITE")))</f>
        <v/>
      </c>
      <c r="H22" s="4" t="inlineStr">
        <is>
          <t>Contador, tarifas, material de escritório do projeto etc. Não disfarce despesa de produção como administração (nem o contrário).</t>
        </is>
      </c>
    </row>
    <row r="23" ht="48" customHeight="1">
      <c r="A23" s="4" t="inlineStr">
        <is>
          <t>D1. Acessibilidade, comunicação e divulgação acessíveis</t>
        </is>
      </c>
      <c r="B23" s="26">
        <f>SUMIFS('ORÇAMENTO'!$G$8:$G$207,'ORÇAMENTO'!$K$8:$K$207,"Acessibilidade / comunicação e divulgação acessíveis",'ORÇAMENTO'!$H$8:$H$207,"Incentivo*")</f>
        <v/>
      </c>
      <c r="C23" s="4" t="inlineStr">
        <is>
          <t>VALOR DO PROJETO</t>
        </is>
      </c>
      <c r="D23" s="26">
        <f>VALOR_PROJETO</f>
        <v/>
      </c>
      <c r="E23" s="32">
        <f>L_ACESS</f>
        <v/>
      </c>
      <c r="F23" s="27">
        <f>IF(OR(D23="",D23=0),"",B23/D23)</f>
        <v/>
      </c>
      <c r="G23" s="21">
        <f>IF(B23=0,"🔴 SEM CUSTO DE ACESSIBILIDADE — confira se as medidas estão previstas",IF(OR(F23="",E23=""),"",IF(F23&gt;E23,"🔴 ACIMA DO LIMITE",IF(F23&gt;=E23*MARGEM,"🟡 VERIFICAR","🟢 DENTRO DO LIMITE"))))</f>
        <v/>
      </c>
      <c r="H23" s="4" t="inlineStr">
        <is>
          <t>Limite é TETO, não meta. Acessibilidade é obrigatória: 0% aqui é sinal de alerta (ver status).</t>
        </is>
      </c>
    </row>
    <row r="24" ht="48" customHeight="1">
      <c r="A24" s="4" t="inlineStr">
        <is>
          <t>D2. Divulgação / comunicação</t>
        </is>
      </c>
      <c r="B24" s="26">
        <f>SUMIFS('ORÇAMENTO'!$G$8:$G$207,'ORÇAMENTO'!$K$8:$K$207,"Divulgação / comunicação",'ORÇAMENTO'!$H$8:$H$207,"Incentivo*")</f>
        <v/>
      </c>
      <c r="C24" s="4" t="inlineStr">
        <is>
          <t>VALOR DO PROJETO</t>
        </is>
      </c>
      <c r="D24" s="26">
        <f>VALOR_PROJETO</f>
        <v/>
      </c>
      <c r="E24" s="32">
        <f>L_DIVULG</f>
        <v/>
      </c>
      <c r="F24" s="27">
        <f>IF(OR(D24="",D24=0),"",B24/D24)</f>
        <v/>
      </c>
      <c r="G24" s="21">
        <f>IF(OR(F24="",E24=""),"",IF(F24&gt;E24,"🔴 ACIMA DO LIMITE",IF(F24&gt;=E24*MARGEM,"🟡 VERIFICAR","🟢 DENTRO DO LIMITE")))</f>
        <v/>
      </c>
      <c r="H24" s="4" t="inlineStr">
        <is>
          <t>Assessoria de comunicação, peças, impulsionamento. Precisa ter relação com o público do projeto.</t>
        </is>
      </c>
    </row>
    <row r="25" ht="48" customHeight="1">
      <c r="A25" s="4" t="inlineStr">
        <is>
          <t>E. Remuneração de captação</t>
        </is>
      </c>
      <c r="B25" s="26">
        <f>SUMIFS('ORÇAMENTO'!$G$8:$G$207,'ORÇAMENTO'!$K$8:$K$207,"Remuneração de captação",'ORÇAMENTO'!$H$8:$H$207,"Incentivo*")</f>
        <v/>
      </c>
      <c r="C25" s="4" t="inlineStr">
        <is>
          <t>VALOR DO PROJETO</t>
        </is>
      </c>
      <c r="D25" s="26">
        <f>VALOR_PROJETO</f>
        <v/>
      </c>
      <c r="E25" s="41">
        <f>MIN(L_CAPT_PCT*VALOR_PROJETO,L_CAPT_TETO)</f>
        <v/>
      </c>
      <c r="F25" s="27">
        <f>IF(OR(D25="",D25=0),"",B25/D25)</f>
        <v/>
      </c>
      <c r="G25" s="21">
        <f>IF(B25=0,"🟢 DENTRO DO LIMITE (sem captador)",IF(B25&gt;E25,"🔴 ACIMA DO LIMITE",IF(B25&gt;=E25*MARGEM,"🟡 VERIFICAR","🟢 DENTRO DO LIMITE")))</f>
        <v/>
      </c>
      <c r="H25" s="4" t="inlineStr">
        <is>
          <t>Limite = MENOR entre 10% do valor do projeto e R$ 150.000. Pago proporcionalmente ao captado. Serviço ao proponente, nunca ao incentivador.</t>
        </is>
      </c>
    </row>
    <row r="26" ht="48" customHeight="1">
      <c r="A26" s="4" t="inlineStr">
        <is>
          <t>F. Distribuição / democratização (detalhe na aba DISTRIBUICAO)</t>
        </is>
      </c>
      <c r="B26" s="4" t="n"/>
      <c r="C26" s="4" t="inlineStr">
        <is>
          <t>Total de ingressos/produtos</t>
        </is>
      </c>
      <c r="D26" s="4" t="n"/>
      <c r="E26" s="4" t="n"/>
      <c r="F26" s="4" t="n"/>
      <c r="G26" s="4">
        <f>IF(COUNTIF(DISTRIBUICAO!G7:G10,"🔴*")&gt;0,"🔴 ACIMA/ABAIXO DO LIMITE — veja a aba",IF(COUNTIF(DISTRIBUICAO!G7:G10,"🟡*")&gt;0,"🟡 VERIFICAR — veja a aba","🟢 DENTRO DO LIMITE"))</f>
        <v/>
      </c>
      <c r="H26" s="4" t="inlineStr">
        <is>
          <t>Faixas máximas (promocionais) e mínimas (social/educativa e preço popular).</t>
        </is>
      </c>
    </row>
    <row r="27" ht="48" customHeight="1">
      <c r="A27" s="4" t="inlineStr">
        <is>
          <t>H. Valor por beneficiário</t>
        </is>
      </c>
      <c r="B27" s="41">
        <f>VALOR_TOTAL</f>
        <v/>
      </c>
      <c r="C27" s="4" t="inlineStr">
        <is>
          <t>Nº de beneficiários (B16)</t>
        </is>
      </c>
      <c r="D27" s="42">
        <f>B16</f>
        <v/>
      </c>
      <c r="E27" s="4" t="inlineStr">
        <is>
          <t>sem limite normativo</t>
        </is>
      </c>
      <c r="F27" s="41">
        <f>IF(OR(B16="",B16=0),"",VALOR_TOTAL/B16)</f>
        <v/>
      </c>
      <c r="G27" s="4">
        <f>IF(F27="","🟡 VERIFICAR — informe beneficiários","🟢 Calculado — avalie se é razoável e explique na justificativa")</f>
        <v/>
      </c>
      <c r="H27" s="4" t="inlineStr">
        <is>
          <t>Não há teto na IN para este indicador. Serve para você testar a coerência: custo alto por pessoa precisa de justificativa (ex.: formação intensiva, produto permanente).</t>
        </is>
      </c>
    </row>
    <row r="28" ht="48" customHeight="1">
      <c r="A28" s="4" t="inlineStr">
        <is>
          <t>I. Primeiro projeto: dispensa de comprovar atuação cultural</t>
        </is>
      </c>
      <c r="B28" s="41">
        <f>MAX(VALOR_PROJETO,VALOR_TOTAL)</f>
        <v/>
      </c>
      <c r="C28" s="4" t="inlineStr">
        <is>
          <t>Valor do projeto (o kit usa o MAIOR entre valor do projeto e valor total, por prudência)</t>
        </is>
      </c>
      <c r="D28" s="4" t="n"/>
      <c r="E28" s="41">
        <f>L_INICIANTE</f>
        <v/>
      </c>
      <c r="F28" s="4" t="n"/>
      <c r="G28" s="4">
        <f>IF(B13="","🟡 VERIFICAR — responda se é o primeiro projeto",IF(B13="Não","🟡 Não se aplica: comprove atuação (portfólio no Salic)",IF(B28&lt;=E28,"🟢 Pode estar dispensado de comprovar atuação — confira a redação oficial","🔴 Acima do limite: precisa comprovar atuação cultural")))</f>
        <v/>
      </c>
      <c r="H28" s="4" t="inlineStr">
        <is>
          <t>A dispensa é SÓ da comprovação de atuação na área cultural. Todos os outros requisitos e documentos continuam valendo.</t>
        </is>
      </c>
    </row>
    <row r="29" ht="48" customHeight="1">
      <c r="A29" s="4" t="inlineStr">
        <is>
          <t>J. Limite de projetos ativos e teto global do proponente</t>
        </is>
      </c>
      <c r="B29" s="41">
        <f>B15+VALOR_PROJETO</f>
        <v/>
      </c>
      <c r="C29" s="4" t="inlineStr">
        <is>
          <t>Soma dos projetos ativos + este</t>
        </is>
      </c>
      <c r="D29" s="4">
        <f>IF(TIPO_PROP="Pessoa física",L_PF_QTD,IF(TIPO_PROP="MEI",L_MEI_QTD,IF(TIPO_PROP="","",L_PJ_QTD)))</f>
        <v/>
      </c>
      <c r="E29" s="41">
        <f>IF(TIPO_PROP="Pessoa física",L_PF_TETO,IF(TIPO_PROP="MEI",L_MEI_TETO,IF(TIPO_PROP="","",L_PJ_TETO)))</f>
        <v/>
      </c>
      <c r="F29" s="32">
        <f>IF(OR(E29="",E29=0),"",B29/E29)</f>
        <v/>
      </c>
      <c r="G29" s="4">
        <f>IF(TIPO_PROP="","🟡 VERIFICAR — informe o tipo de proponente",IF(OR(B14+1&gt;D29,B29&gt;E29),"🔴 ACIMA DO LIMITE",IF(B29&gt;=E29*MARGEM,"🟡 VERIFICAR","🟢 DENTRO DO LIMITE")))</f>
        <v/>
      </c>
      <c r="H29" s="4" t="inlineStr">
        <is>
          <t>Coluna D mostra a QUANTIDADE máxima de projetos ativos; coluna E o teto global em R$.</t>
        </is>
      </c>
    </row>
    <row r="31">
      <c r="A31" s="43" t="inlineStr">
        <is>
          <t>G. PERCENTUAL DE CADA CATEGORIA (sobre o VALOR DO PROJETO)</t>
        </is>
      </c>
    </row>
    <row r="32" ht="42" customHeight="1">
      <c r="A32" s="14" t="inlineStr">
        <is>
          <t>Categoria</t>
        </is>
      </c>
      <c r="B32" s="14" t="inlineStr">
        <is>
          <t>Valor (incentivo)</t>
        </is>
      </c>
      <c r="C32" s="14" t="inlineStr">
        <is>
          <t>% do valor do projeto</t>
        </is>
      </c>
      <c r="D32" s="14" t="inlineStr">
        <is>
          <t>Limite (se houver)</t>
        </is>
      </c>
    </row>
    <row r="33">
      <c r="A33" s="44" t="inlineStr">
        <is>
          <t>Produção / atividade-fim</t>
        </is>
      </c>
      <c r="B33" s="45">
        <f>SUMIFS('ORÇAMENTO'!$G$8:$G$207,'ORÇAMENTO'!$K$8:$K$207,"Produção / atividade-fim",'ORÇAMENTO'!$H$8:$H$207,"Incentivo*")</f>
        <v/>
      </c>
      <c r="C33" s="46">
        <f>IF(VALOR_PROJETO=0,"",B33/VALOR_PROJETO)</f>
        <v/>
      </c>
      <c r="D33" s="44" t="inlineStr">
        <is>
          <t>—</t>
        </is>
      </c>
    </row>
    <row r="34">
      <c r="A34" s="44" t="inlineStr">
        <is>
          <t>Cachê – artista solo</t>
        </is>
      </c>
      <c r="B34" s="45">
        <f>SUMIFS('ORÇAMENTO'!$G$8:$G$207,'ORÇAMENTO'!$K$8:$K$207,"Cachê – artista solo",'ORÇAMENTO'!$H$8:$H$207,"Incentivo*")</f>
        <v/>
      </c>
      <c r="C34" s="46">
        <f>IF(VALOR_PROJETO=0,"",B34/VALOR_PROJETO)</f>
        <v/>
      </c>
      <c r="D34" s="44" t="inlineStr">
        <is>
          <t>por apresentação (ver PARAMETROS)</t>
        </is>
      </c>
    </row>
    <row r="35">
      <c r="A35" s="44" t="inlineStr">
        <is>
          <t>Cachê – grupo ou coletivo</t>
        </is>
      </c>
      <c r="B35" s="45">
        <f>SUMIFS('ORÇAMENTO'!$G$8:$G$207,'ORÇAMENTO'!$K$8:$K$207,"Cachê – grupo ou coletivo",'ORÇAMENTO'!$H$8:$H$207,"Incentivo*")</f>
        <v/>
      </c>
      <c r="C35" s="46">
        <f>IF(VALOR_PROJETO=0,"",B35/VALOR_PROJETO)</f>
        <v/>
      </c>
      <c r="D35" s="44" t="inlineStr">
        <is>
          <t>por apresentação (ver PARAMETROS)</t>
        </is>
      </c>
    </row>
    <row r="36">
      <c r="A36" s="44" t="inlineStr">
        <is>
          <t>Cachê – músico de orquestra</t>
        </is>
      </c>
      <c r="B36" s="45">
        <f>SUMIFS('ORÇAMENTO'!$G$8:$G$207,'ORÇAMENTO'!$K$8:$K$207,"Cachê – músico de orquestra",'ORÇAMENTO'!$H$8:$H$207,"Incentivo*")</f>
        <v/>
      </c>
      <c r="C36" s="46">
        <f>IF(VALOR_PROJETO=0,"",B36/VALOR_PROJETO)</f>
        <v/>
      </c>
      <c r="D36" s="44" t="inlineStr">
        <is>
          <t>por apresentação (ver PARAMETROS)</t>
        </is>
      </c>
    </row>
    <row r="37">
      <c r="A37" s="44" t="inlineStr">
        <is>
          <t>Cachê – maestro / regente</t>
        </is>
      </c>
      <c r="B37" s="45">
        <f>SUMIFS('ORÇAMENTO'!$G$8:$G$207,'ORÇAMENTO'!$K$8:$K$207,"Cachê – maestro / regente",'ORÇAMENTO'!$H$8:$H$207,"Incentivo*")</f>
        <v/>
      </c>
      <c r="C37" s="46">
        <f>IF(VALOR_PROJETO=0,"",B37/VALOR_PROJETO)</f>
        <v/>
      </c>
      <c r="D37" s="44" t="inlineStr">
        <is>
          <t>por apresentação (ver PARAMETROS)</t>
        </is>
      </c>
    </row>
    <row r="38">
      <c r="A38" s="44" t="inlineStr">
        <is>
          <t>Cachê – palestrante / conferencista</t>
        </is>
      </c>
      <c r="B38" s="45">
        <f>SUMIFS('ORÇAMENTO'!$G$8:$G$207,'ORÇAMENTO'!$K$8:$K$207,"Cachê – palestrante / conferencista",'ORÇAMENTO'!$H$8:$H$207,"Incentivo*")</f>
        <v/>
      </c>
      <c r="C38" s="46">
        <f>IF(VALOR_PROJETO=0,"",B38/VALOR_PROJETO)</f>
        <v/>
      </c>
      <c r="D38" s="44" t="inlineStr">
        <is>
          <t>por apresentação (ver PARAMETROS)</t>
        </is>
      </c>
    </row>
    <row r="39">
      <c r="A39" s="44" t="inlineStr">
        <is>
          <t>Remuneração do proponente</t>
        </is>
      </c>
      <c r="B39" s="45">
        <f>SUMIFS('ORÇAMENTO'!$G$8:$G$207,'ORÇAMENTO'!$K$8:$K$207,"Remuneração do proponente",'ORÇAMENTO'!$H$8:$H$207,"Incentivo*")</f>
        <v/>
      </c>
      <c r="C39" s="46">
        <f>IF(VALOR_PROJETO=0,"",B39/VALOR_PROJETO)</f>
        <v/>
      </c>
      <c r="D39" s="44" t="inlineStr">
        <is>
          <t>sobre VALOR CAPTADO (ver A)</t>
        </is>
      </c>
    </row>
    <row r="40">
      <c r="A40" s="44" t="inlineStr">
        <is>
          <t>Custos de administração</t>
        </is>
      </c>
      <c r="B40" s="45">
        <f>SUMIFS('ORÇAMENTO'!$G$8:$G$207,'ORÇAMENTO'!$K$8:$K$207,"Custos de administração",'ORÇAMENTO'!$H$8:$H$207,"Incentivo*")</f>
        <v/>
      </c>
      <c r="C40" s="46">
        <f>IF(VALOR_PROJETO=0,"",B40/VALOR_PROJETO)</f>
        <v/>
      </c>
      <c r="D40" s="46">
        <f>L_ADM</f>
        <v/>
      </c>
    </row>
    <row r="41">
      <c r="A41" s="44" t="inlineStr">
        <is>
          <t>Divulgação / comunicação</t>
        </is>
      </c>
      <c r="B41" s="45">
        <f>SUMIFS('ORÇAMENTO'!$G$8:$G$207,'ORÇAMENTO'!$K$8:$K$207,"Divulgação / comunicação",'ORÇAMENTO'!$H$8:$H$207,"Incentivo*")</f>
        <v/>
      </c>
      <c r="C41" s="46">
        <f>IF(VALOR_PROJETO=0,"",B41/VALOR_PROJETO)</f>
        <v/>
      </c>
      <c r="D41" s="46">
        <f>L_DIVULG</f>
        <v/>
      </c>
    </row>
    <row r="42">
      <c r="A42" s="44" t="inlineStr">
        <is>
          <t>Acessibilidade / comunicação e divulgação acessíveis</t>
        </is>
      </c>
      <c r="B42" s="45">
        <f>SUMIFS('ORÇAMENTO'!$G$8:$G$207,'ORÇAMENTO'!$K$8:$K$207,"Acessibilidade / comunicação e divulgação acessíveis",'ORÇAMENTO'!$H$8:$H$207,"Incentivo*")</f>
        <v/>
      </c>
      <c r="C42" s="46">
        <f>IF(VALOR_PROJETO=0,"",B42/VALOR_PROJETO)</f>
        <v/>
      </c>
      <c r="D42" s="46">
        <f>L_ACESS</f>
        <v/>
      </c>
    </row>
    <row r="43">
      <c r="A43" s="44" t="inlineStr">
        <is>
          <t>Remuneração de captação</t>
        </is>
      </c>
      <c r="B43" s="45">
        <f>SUMIFS('ORÇAMENTO'!$G$8:$G$207,'ORÇAMENTO'!$K$8:$K$207,"Remuneração de captação",'ORÇAMENTO'!$H$8:$H$207,"Incentivo*")</f>
        <v/>
      </c>
      <c r="C43" s="46">
        <f>IF(VALOR_PROJETO=0,"",B43/VALOR_PROJETO)</f>
        <v/>
      </c>
      <c r="D43" s="44" t="inlineStr">
        <is>
          <t>10% / R$150 mil (ver E)</t>
        </is>
      </c>
    </row>
    <row r="44">
      <c r="A44" s="44" t="inlineStr">
        <is>
          <t>Tributos e encargos</t>
        </is>
      </c>
      <c r="B44" s="45">
        <f>SUMIFS('ORÇAMENTO'!$G$8:$G$207,'ORÇAMENTO'!$K$8:$K$207,"Tributos e encargos",'ORÇAMENTO'!$H$8:$H$207,"Incentivo*")</f>
        <v/>
      </c>
      <c r="C44" s="46">
        <f>IF(VALOR_PROJETO=0,"",B44/VALOR_PROJETO)</f>
        <v/>
      </c>
      <c r="D44" s="44" t="inlineStr">
        <is>
          <t>—</t>
        </is>
      </c>
    </row>
    <row r="45">
      <c r="A45" s="44" t="inlineStr">
        <is>
          <t>Outros (explique na observação)</t>
        </is>
      </c>
      <c r="B45" s="45">
        <f>SUMIFS('ORÇAMENTO'!$G$8:$G$207,'ORÇAMENTO'!$K$8:$K$207,"Outros (explique na observação)",'ORÇAMENTO'!$H$8:$H$207,"Incentivo*")</f>
        <v/>
      </c>
      <c r="C45" s="46">
        <f>IF(VALOR_PROJETO=0,"",B45/VALOR_PROJETO)</f>
        <v/>
      </c>
      <c r="D45" s="44" t="inlineStr">
        <is>
          <t>—</t>
        </is>
      </c>
    </row>
    <row r="46">
      <c r="A46" s="5" t="inlineStr">
        <is>
          <t>TOTAL</t>
        </is>
      </c>
      <c r="B46" s="16">
        <f>SUM(B33:B45)</f>
        <v/>
      </c>
      <c r="C46" s="47">
        <f>IF(VALOR_PROJETO=0,"",B46/VALOR_PROJETO)</f>
        <v/>
      </c>
    </row>
    <row r="47">
      <c r="A47" t="inlineStr">
        <is>
          <t>Linhas do orçamento sem categoria (incentivo)</t>
        </is>
      </c>
      <c r="B47" s="16">
        <f>SUMIFS('ORÇAMENTO'!$G$8:$G$207,'ORÇAMENTO'!$K$8:$K$207,"",'ORÇAMENTO'!$H$8:$H$207,"Incentivo*")</f>
        <v/>
      </c>
      <c r="C47">
        <f>IF(B47&gt;0,"🟡 Classifique todas as linhas","🟢 Tudo classificado")</f>
        <v/>
      </c>
    </row>
    <row r="49">
      <c r="A49" s="43" t="inlineStr">
        <is>
          <t>E SE EU CAPTAR MENOS? — remuneração do proponente por cenário</t>
        </is>
      </c>
    </row>
    <row r="50" ht="42" customHeight="1">
      <c r="A50" s="14" t="inlineStr">
        <is>
          <t>Cenário de captação</t>
        </is>
      </c>
      <c r="B50" s="14" t="inlineStr">
        <is>
          <t>Valor captado</t>
        </is>
      </c>
      <c r="C50" s="14" t="inlineStr">
        <is>
          <t>Limite de remuneração em R$</t>
        </is>
      </c>
      <c r="D50" s="14" t="inlineStr">
        <is>
          <t>Remuneração prevista</t>
        </is>
      </c>
      <c r="E50" s="14" t="inlineStr">
        <is>
          <t>% sobre o captado</t>
        </is>
      </c>
      <c r="F50" s="14" t="inlineStr">
        <is>
          <t>Status</t>
        </is>
      </c>
    </row>
    <row r="51">
      <c r="A51" s="48" t="n">
        <v>1</v>
      </c>
      <c r="B51" s="45">
        <f>VALOR_PROJETO*A51</f>
        <v/>
      </c>
      <c r="C51" s="45">
        <f>B51*$E$20</f>
        <v/>
      </c>
      <c r="D51" s="45">
        <f>$B$20</f>
        <v/>
      </c>
      <c r="E51" s="46">
        <f>IF(B51=0,"",D51/B51)</f>
        <v/>
      </c>
      <c r="F51" s="44">
        <f>IF(E51="","",IF(E51&gt;$E$20,"🔴 Reduza a remuneração neste cenário","🟢 OK"))</f>
        <v/>
      </c>
    </row>
    <row r="52">
      <c r="A52" s="48" t="n">
        <v>0.75</v>
      </c>
      <c r="B52" s="45">
        <f>VALOR_PROJETO*A52</f>
        <v/>
      </c>
      <c r="C52" s="45">
        <f>B52*$E$20</f>
        <v/>
      </c>
      <c r="D52" s="45">
        <f>$B$20</f>
        <v/>
      </c>
      <c r="E52" s="46">
        <f>IF(B52=0,"",D52/B52)</f>
        <v/>
      </c>
      <c r="F52" s="44">
        <f>IF(E52="","",IF(E52&gt;$E$20,"🔴 Reduza a remuneração neste cenário","🟢 OK"))</f>
        <v/>
      </c>
    </row>
    <row r="53">
      <c r="A53" s="48" t="n">
        <v>0.5</v>
      </c>
      <c r="B53" s="45">
        <f>VALOR_PROJETO*A53</f>
        <v/>
      </c>
      <c r="C53" s="45">
        <f>B53*$E$20</f>
        <v/>
      </c>
      <c r="D53" s="45">
        <f>$B$20</f>
        <v/>
      </c>
      <c r="E53" s="46">
        <f>IF(B53=0,"",D53/B53)</f>
        <v/>
      </c>
      <c r="F53" s="44">
        <f>IF(E53="","",IF(E53&gt;$E$20,"🔴 Reduza a remuneração neste cenário","🟢 OK"))</f>
        <v/>
      </c>
    </row>
    <row r="54">
      <c r="A54" s="48" t="n">
        <v>0.25</v>
      </c>
      <c r="B54" s="45">
        <f>VALOR_PROJETO*A54</f>
        <v/>
      </c>
      <c r="C54" s="45">
        <f>B54*$E$20</f>
        <v/>
      </c>
      <c r="D54" s="45">
        <f>$B$20</f>
        <v/>
      </c>
      <c r="E54" s="46">
        <f>IF(B54=0,"",D54/B54)</f>
        <v/>
      </c>
      <c r="F54" s="44">
        <f>IF(E54="","",IF(E54&gt;$E$20,"🔴 Reduza a remuneração neste cenário","🟢 OK"))</f>
        <v/>
      </c>
    </row>
    <row r="55" ht="36" customHeight="1">
      <c r="A55" s="13" t="inlineStr">
        <is>
          <t>Leitura: a remuneração do proponente é limitada pelo VALOR CAPTADO. Se o projeto captar só parte do valor, o valor em reais que você pode receber cai junto. Planeje a execução parcial desde já.</t>
        </is>
      </c>
    </row>
  </sheetData>
  <mergeCells count="3">
    <mergeCell ref="A55:F55"/>
    <mergeCell ref="A2:H2"/>
    <mergeCell ref="A1:H1"/>
  </mergeCells>
  <conditionalFormatting sqref="G20:G29">
    <cfRule type="expression" priority="1" dxfId="0">
      <formula>LEFT(G20,2)="🔴"</formula>
    </cfRule>
    <cfRule type="expression" priority="2" dxfId="1">
      <formula>LEFT(G20,2)="🟡"</formula>
    </cfRule>
    <cfRule type="expression" priority="3" dxfId="2">
      <formula>LEFT(G20,2)="🟢"</formula>
    </cfRule>
    <cfRule type="expression" priority="4" dxfId="0">
      <formula>ISNUMBER(SEARCH("🔴",G20))</formula>
    </cfRule>
    <cfRule type="expression" priority="5" dxfId="1">
      <formula>ISNUMBER(SEARCH("🟡",G20))</formula>
    </cfRule>
  </conditionalFormatting>
  <conditionalFormatting sqref="C47">
    <cfRule type="expression" priority="6" dxfId="0">
      <formula>LEFT(C47,2)="🔴"</formula>
    </cfRule>
    <cfRule type="expression" priority="7" dxfId="1">
      <formula>LEFT(C47,2)="🟡"</formula>
    </cfRule>
    <cfRule type="expression" priority="8" dxfId="2">
      <formula>LEFT(C47,2)="🟢"</formula>
    </cfRule>
    <cfRule type="expression" priority="9" dxfId="0">
      <formula>ISNUMBER(SEARCH("🔴",C47))</formula>
    </cfRule>
    <cfRule type="expression" priority="10" dxfId="1">
      <formula>ISNUMBER(SEARCH("🟡",C47))</formula>
    </cfRule>
  </conditionalFormatting>
  <conditionalFormatting sqref="F51:F54">
    <cfRule type="expression" priority="11" dxfId="0">
      <formula>LEFT(F51,2)="🔴"</formula>
    </cfRule>
    <cfRule type="expression" priority="12" dxfId="1">
      <formula>LEFT(F51,2)="🟡"</formula>
    </cfRule>
    <cfRule type="expression" priority="13" dxfId="2">
      <formula>LEFT(F51,2)="🟢"</formula>
    </cfRule>
    <cfRule type="expression" priority="14" dxfId="0">
      <formula>ISNUMBER(SEARCH("🔴",F51))</formula>
    </cfRule>
    <cfRule type="expression" priority="15" dxfId="1">
      <formula>ISNUMBER(SEARCH("🟡",F51))</formula>
    </cfRule>
  </conditionalFormatting>
  <dataValidations count="3">
    <dataValidation sqref="B5" showDropDown="0" showInputMessage="0" showErrorMessage="0" allowBlank="1" error="Escolha uma opção da lista." type="list">
      <formula1>"Pessoa física,MEI,Demais pessoa jurídica"</formula1>
    </dataValidation>
    <dataValidation sqref="B6" showDropDown="0" showInputMessage="0" showErrorMessage="0" allowBlank="1" error="Escolha uma opção da lista." type="list">
      <formula1>"Sim,Não"</formula1>
    </dataValidation>
    <dataValidation sqref="B13" showDropDown="0" showInputMessage="0" showErrorMessage="0" allowBlank="1" error="Escolha uma opção da lista." type="list">
      <formula1>"Sim,Não"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2" customWidth="1" min="2" max="2"/>
    <col width="26" customWidth="1" min="3" max="3"/>
    <col width="30" customWidth="1" min="4" max="4"/>
    <col width="30" customWidth="1" min="5" max="5"/>
    <col width="30" customWidth="1" min="6" max="6"/>
    <col width="14" customWidth="1" min="7" max="7"/>
    <col width="14" customWidth="1" min="8" max="8"/>
    <col width="12" customWidth="1" min="9" max="9"/>
    <col width="20" customWidth="1" min="10" max="10"/>
  </cols>
  <sheetData>
    <row r="1" ht="30" customHeight="1">
      <c r="A1" s="1" t="inlineStr">
        <is>
          <t>PLANILHA 7 — MATRIZ DE CONSISTÊNCIA</t>
        </is>
      </c>
    </row>
    <row r="2" ht="45" customHeight="1">
      <c r="A2" s="2" t="inlineStr">
        <is>
          <t>Parte 1: cada objetivo específico precisa virar meta → produto → despesa → atividade → público. Copie o NOME EXATO do item do orçamento e da atividade do cronograma: a planilha confere se eles existem.</t>
        </is>
      </c>
    </row>
    <row r="4" ht="42" customHeight="1">
      <c r="A4" s="14" t="inlineStr">
        <is>
          <t>Objetivo específico</t>
        </is>
      </c>
      <c r="B4" s="14" t="inlineStr">
        <is>
          <t>Meta (com número)</t>
        </is>
      </c>
      <c r="C4" s="14" t="inlineStr">
        <is>
          <t>Produto</t>
        </is>
      </c>
      <c r="D4" s="14" t="inlineStr">
        <is>
          <t>Item do ORÇAMENTO (nome exato)</t>
        </is>
      </c>
      <c r="E4" s="14" t="inlineStr">
        <is>
          <t>Atividade do CRONOGRAMA (nome exato)</t>
        </is>
      </c>
      <c r="F4" s="14" t="inlineStr">
        <is>
          <t>Público / faixa do plano de distribuição</t>
        </is>
      </c>
      <c r="G4" s="14" t="inlineStr">
        <is>
          <t>Item existe no orçamento?</t>
        </is>
      </c>
      <c r="H4" s="14" t="inlineStr">
        <is>
          <t>Atividade existe no cronograma?</t>
        </is>
      </c>
      <c r="I4" s="14" t="inlineStr">
        <is>
          <t>Revisão manual</t>
        </is>
      </c>
      <c r="J4" s="14" t="inlineStr">
        <is>
          <t>RESULTADO</t>
        </is>
      </c>
    </row>
    <row r="5">
      <c r="A5" s="20" t="n"/>
      <c r="B5" s="20" t="n"/>
      <c r="C5" s="20" t="n"/>
      <c r="D5" s="20" t="n"/>
      <c r="E5" s="20" t="n"/>
      <c r="F5" s="20" t="n"/>
      <c r="G5" s="21">
        <f>IF(D5="","",IF(COUNTIF('ORÇAMENTO'!$B$8:$B$207,D5)&gt;0,"Sim","Não"))</f>
        <v/>
      </c>
      <c r="H5" s="21">
        <f>IF(E5="","",IF(COUNTIF(CRONOGRAMA!$A$8:$A$67,E5)&gt;0,"Sim","Não"))</f>
        <v/>
      </c>
      <c r="I5" s="20" t="n"/>
      <c r="J5" s="21">
        <f>IF(A5="","",IF(OR(COUNTBLANK(B5:F5)&gt;2,G5="Não",H5="Não"),"🔴 INCONSISTENTE",IF(OR(COUNTBLANK(B5:F5)&gt;0,I5="Revisar"),"🟡 REVISAR","🟢 COERENTE")))</f>
        <v/>
      </c>
    </row>
    <row r="6">
      <c r="A6" s="20" t="n"/>
      <c r="B6" s="20" t="n"/>
      <c r="C6" s="20" t="n"/>
      <c r="D6" s="20" t="n"/>
      <c r="E6" s="20" t="n"/>
      <c r="F6" s="20" t="n"/>
      <c r="G6" s="21">
        <f>IF(D6="","",IF(COUNTIF('ORÇAMENTO'!$B$8:$B$207,D6)&gt;0,"Sim","Não"))</f>
        <v/>
      </c>
      <c r="H6" s="21">
        <f>IF(E6="","",IF(COUNTIF(CRONOGRAMA!$A$8:$A$67,E6)&gt;0,"Sim","Não"))</f>
        <v/>
      </c>
      <c r="I6" s="20" t="n"/>
      <c r="J6" s="21">
        <f>IF(A6="","",IF(OR(COUNTBLANK(B6:F6)&gt;2,G6="Não",H6="Não"),"🔴 INCONSISTENTE",IF(OR(COUNTBLANK(B6:F6)&gt;0,I6="Revisar"),"🟡 REVISAR","🟢 COERENTE")))</f>
        <v/>
      </c>
    </row>
    <row r="7">
      <c r="A7" s="20" t="n"/>
      <c r="B7" s="20" t="n"/>
      <c r="C7" s="20" t="n"/>
      <c r="D7" s="20" t="n"/>
      <c r="E7" s="20" t="n"/>
      <c r="F7" s="20" t="n"/>
      <c r="G7" s="21">
        <f>IF(D7="","",IF(COUNTIF('ORÇAMENTO'!$B$8:$B$207,D7)&gt;0,"Sim","Não"))</f>
        <v/>
      </c>
      <c r="H7" s="21">
        <f>IF(E7="","",IF(COUNTIF(CRONOGRAMA!$A$8:$A$67,E7)&gt;0,"Sim","Não"))</f>
        <v/>
      </c>
      <c r="I7" s="20" t="n"/>
      <c r="J7" s="21">
        <f>IF(A7="","",IF(OR(COUNTBLANK(B7:F7)&gt;2,G7="Não",H7="Não"),"🔴 INCONSISTENTE",IF(OR(COUNTBLANK(B7:F7)&gt;0,I7="Revisar"),"🟡 REVISAR","🟢 COERENTE")))</f>
        <v/>
      </c>
    </row>
    <row r="8">
      <c r="A8" s="20" t="n"/>
      <c r="B8" s="20" t="n"/>
      <c r="C8" s="20" t="n"/>
      <c r="D8" s="20" t="n"/>
      <c r="E8" s="20" t="n"/>
      <c r="F8" s="20" t="n"/>
      <c r="G8" s="21">
        <f>IF(D8="","",IF(COUNTIF('ORÇAMENTO'!$B$8:$B$207,D8)&gt;0,"Sim","Não"))</f>
        <v/>
      </c>
      <c r="H8" s="21">
        <f>IF(E8="","",IF(COUNTIF(CRONOGRAMA!$A$8:$A$67,E8)&gt;0,"Sim","Não"))</f>
        <v/>
      </c>
      <c r="I8" s="20" t="n"/>
      <c r="J8" s="21">
        <f>IF(A8="","",IF(OR(COUNTBLANK(B8:F8)&gt;2,G8="Não",H8="Não"),"🔴 INCONSISTENTE",IF(OR(COUNTBLANK(B8:F8)&gt;0,I8="Revisar"),"🟡 REVISAR","🟢 COERENTE")))</f>
        <v/>
      </c>
    </row>
    <row r="9">
      <c r="A9" s="20" t="n"/>
      <c r="B9" s="20" t="n"/>
      <c r="C9" s="20" t="n"/>
      <c r="D9" s="20" t="n"/>
      <c r="E9" s="20" t="n"/>
      <c r="F9" s="20" t="n"/>
      <c r="G9" s="21">
        <f>IF(D9="","",IF(COUNTIF('ORÇAMENTO'!$B$8:$B$207,D9)&gt;0,"Sim","Não"))</f>
        <v/>
      </c>
      <c r="H9" s="21">
        <f>IF(E9="","",IF(COUNTIF(CRONOGRAMA!$A$8:$A$67,E9)&gt;0,"Sim","Não"))</f>
        <v/>
      </c>
      <c r="I9" s="20" t="n"/>
      <c r="J9" s="21">
        <f>IF(A9="","",IF(OR(COUNTBLANK(B9:F9)&gt;2,G9="Não",H9="Não"),"🔴 INCONSISTENTE",IF(OR(COUNTBLANK(B9:F9)&gt;0,I9="Revisar"),"🟡 REVISAR","🟢 COERENTE")))</f>
        <v/>
      </c>
    </row>
    <row r="10">
      <c r="A10" s="20" t="n"/>
      <c r="B10" s="20" t="n"/>
      <c r="C10" s="20" t="n"/>
      <c r="D10" s="20" t="n"/>
      <c r="E10" s="20" t="n"/>
      <c r="F10" s="20" t="n"/>
      <c r="G10" s="21">
        <f>IF(D10="","",IF(COUNTIF('ORÇAMENTO'!$B$8:$B$207,D10)&gt;0,"Sim","Não"))</f>
        <v/>
      </c>
      <c r="H10" s="21">
        <f>IF(E10="","",IF(COUNTIF(CRONOGRAMA!$A$8:$A$67,E10)&gt;0,"Sim","Não"))</f>
        <v/>
      </c>
      <c r="I10" s="20" t="n"/>
      <c r="J10" s="21">
        <f>IF(A10="","",IF(OR(COUNTBLANK(B10:F10)&gt;2,G10="Não",H10="Não"),"🔴 INCONSISTENTE",IF(OR(COUNTBLANK(B10:F10)&gt;0,I10="Revisar"),"🟡 REVISAR","🟢 COERENTE")))</f>
        <v/>
      </c>
    </row>
    <row r="11">
      <c r="A11" s="20" t="n"/>
      <c r="B11" s="20" t="n"/>
      <c r="C11" s="20" t="n"/>
      <c r="D11" s="20" t="n"/>
      <c r="E11" s="20" t="n"/>
      <c r="F11" s="20" t="n"/>
      <c r="G11" s="21">
        <f>IF(D11="","",IF(COUNTIF('ORÇAMENTO'!$B$8:$B$207,D11)&gt;0,"Sim","Não"))</f>
        <v/>
      </c>
      <c r="H11" s="21">
        <f>IF(E11="","",IF(COUNTIF(CRONOGRAMA!$A$8:$A$67,E11)&gt;0,"Sim","Não"))</f>
        <v/>
      </c>
      <c r="I11" s="20" t="n"/>
      <c r="J11" s="21">
        <f>IF(A11="","",IF(OR(COUNTBLANK(B11:F11)&gt;2,G11="Não",H11="Não"),"🔴 INCONSISTENTE",IF(OR(COUNTBLANK(B11:F11)&gt;0,I11="Revisar"),"🟡 REVISAR","🟢 COERENTE")))</f>
        <v/>
      </c>
    </row>
    <row r="12">
      <c r="A12" s="20" t="n"/>
      <c r="B12" s="20" t="n"/>
      <c r="C12" s="20" t="n"/>
      <c r="D12" s="20" t="n"/>
      <c r="E12" s="20" t="n"/>
      <c r="F12" s="20" t="n"/>
      <c r="G12" s="21">
        <f>IF(D12="","",IF(COUNTIF('ORÇAMENTO'!$B$8:$B$207,D12)&gt;0,"Sim","Não"))</f>
        <v/>
      </c>
      <c r="H12" s="21">
        <f>IF(E12="","",IF(COUNTIF(CRONOGRAMA!$A$8:$A$67,E12)&gt;0,"Sim","Não"))</f>
        <v/>
      </c>
      <c r="I12" s="20" t="n"/>
      <c r="J12" s="21">
        <f>IF(A12="","",IF(OR(COUNTBLANK(B12:F12)&gt;2,G12="Não",H12="Não"),"🔴 INCONSISTENTE",IF(OR(COUNTBLANK(B12:F12)&gt;0,I12="Revisar"),"🟡 REVISAR","🟢 COERENTE")))</f>
        <v/>
      </c>
    </row>
    <row r="13">
      <c r="A13" s="20" t="n"/>
      <c r="B13" s="20" t="n"/>
      <c r="C13" s="20" t="n"/>
      <c r="D13" s="20" t="n"/>
      <c r="E13" s="20" t="n"/>
      <c r="F13" s="20" t="n"/>
      <c r="G13" s="21">
        <f>IF(D13="","",IF(COUNTIF('ORÇAMENTO'!$B$8:$B$207,D13)&gt;0,"Sim","Não"))</f>
        <v/>
      </c>
      <c r="H13" s="21">
        <f>IF(E13="","",IF(COUNTIF(CRONOGRAMA!$A$8:$A$67,E13)&gt;0,"Sim","Não"))</f>
        <v/>
      </c>
      <c r="I13" s="20" t="n"/>
      <c r="J13" s="21">
        <f>IF(A13="","",IF(OR(COUNTBLANK(B13:F13)&gt;2,G13="Não",H13="Não"),"🔴 INCONSISTENTE",IF(OR(COUNTBLANK(B13:F13)&gt;0,I13="Revisar"),"🟡 REVISAR","🟢 COERENTE")))</f>
        <v/>
      </c>
    </row>
    <row r="14">
      <c r="A14" s="20" t="n"/>
      <c r="B14" s="20" t="n"/>
      <c r="C14" s="20" t="n"/>
      <c r="D14" s="20" t="n"/>
      <c r="E14" s="20" t="n"/>
      <c r="F14" s="20" t="n"/>
      <c r="G14" s="21">
        <f>IF(D14="","",IF(COUNTIF('ORÇAMENTO'!$B$8:$B$207,D14)&gt;0,"Sim","Não"))</f>
        <v/>
      </c>
      <c r="H14" s="21">
        <f>IF(E14="","",IF(COUNTIF(CRONOGRAMA!$A$8:$A$67,E14)&gt;0,"Sim","Não"))</f>
        <v/>
      </c>
      <c r="I14" s="20" t="n"/>
      <c r="J14" s="21">
        <f>IF(A14="","",IF(OR(COUNTBLANK(B14:F14)&gt;2,G14="Não",H14="Não"),"🔴 INCONSISTENTE",IF(OR(COUNTBLANK(B14:F14)&gt;0,I14="Revisar"),"🟡 REVISAR","🟢 COERENTE")))</f>
        <v/>
      </c>
    </row>
    <row r="15">
      <c r="A15" s="20" t="n"/>
      <c r="B15" s="20" t="n"/>
      <c r="C15" s="20" t="n"/>
      <c r="D15" s="20" t="n"/>
      <c r="E15" s="20" t="n"/>
      <c r="F15" s="20" t="n"/>
      <c r="G15" s="21">
        <f>IF(D15="","",IF(COUNTIF('ORÇAMENTO'!$B$8:$B$207,D15)&gt;0,"Sim","Não"))</f>
        <v/>
      </c>
      <c r="H15" s="21">
        <f>IF(E15="","",IF(COUNTIF(CRONOGRAMA!$A$8:$A$67,E15)&gt;0,"Sim","Não"))</f>
        <v/>
      </c>
      <c r="I15" s="20" t="n"/>
      <c r="J15" s="21">
        <f>IF(A15="","",IF(OR(COUNTBLANK(B15:F15)&gt;2,G15="Não",H15="Não"),"🔴 INCONSISTENTE",IF(OR(COUNTBLANK(B15:F15)&gt;0,I15="Revisar"),"🟡 REVISAR","🟢 COERENTE")))</f>
        <v/>
      </c>
    </row>
    <row r="16">
      <c r="A16" s="20" t="n"/>
      <c r="B16" s="20" t="n"/>
      <c r="C16" s="20" t="n"/>
      <c r="D16" s="20" t="n"/>
      <c r="E16" s="20" t="n"/>
      <c r="F16" s="20" t="n"/>
      <c r="G16" s="21">
        <f>IF(D16="","",IF(COUNTIF('ORÇAMENTO'!$B$8:$B$207,D16)&gt;0,"Sim","Não"))</f>
        <v/>
      </c>
      <c r="H16" s="21">
        <f>IF(E16="","",IF(COUNTIF(CRONOGRAMA!$A$8:$A$67,E16)&gt;0,"Sim","Não"))</f>
        <v/>
      </c>
      <c r="I16" s="20" t="n"/>
      <c r="J16" s="21">
        <f>IF(A16="","",IF(OR(COUNTBLANK(B16:F16)&gt;2,G16="Não",H16="Não"),"🔴 INCONSISTENTE",IF(OR(COUNTBLANK(B16:F16)&gt;0,I16="Revisar"),"🟡 REVISAR","🟢 COERENTE")))</f>
        <v/>
      </c>
    </row>
    <row r="17">
      <c r="A17" s="20" t="n"/>
      <c r="B17" s="20" t="n"/>
      <c r="C17" s="20" t="n"/>
      <c r="D17" s="20" t="n"/>
      <c r="E17" s="20" t="n"/>
      <c r="F17" s="20" t="n"/>
      <c r="G17" s="21">
        <f>IF(D17="","",IF(COUNTIF('ORÇAMENTO'!$B$8:$B$207,D17)&gt;0,"Sim","Não"))</f>
        <v/>
      </c>
      <c r="H17" s="21">
        <f>IF(E17="","",IF(COUNTIF(CRONOGRAMA!$A$8:$A$67,E17)&gt;0,"Sim","Não"))</f>
        <v/>
      </c>
      <c r="I17" s="20" t="n"/>
      <c r="J17" s="21">
        <f>IF(A17="","",IF(OR(COUNTBLANK(B17:F17)&gt;2,G17="Não",H17="Não"),"🔴 INCONSISTENTE",IF(OR(COUNTBLANK(B17:F17)&gt;0,I17="Revisar"),"🟡 REVISAR","🟢 COERENTE")))</f>
        <v/>
      </c>
    </row>
    <row r="18">
      <c r="A18" s="20" t="n"/>
      <c r="B18" s="20" t="n"/>
      <c r="C18" s="20" t="n"/>
      <c r="D18" s="20" t="n"/>
      <c r="E18" s="20" t="n"/>
      <c r="F18" s="20" t="n"/>
      <c r="G18" s="21">
        <f>IF(D18="","",IF(COUNTIF('ORÇAMENTO'!$B$8:$B$207,D18)&gt;0,"Sim","Não"))</f>
        <v/>
      </c>
      <c r="H18" s="21">
        <f>IF(E18="","",IF(COUNTIF(CRONOGRAMA!$A$8:$A$67,E18)&gt;0,"Sim","Não"))</f>
        <v/>
      </c>
      <c r="I18" s="20" t="n"/>
      <c r="J18" s="21">
        <f>IF(A18="","",IF(OR(COUNTBLANK(B18:F18)&gt;2,G18="Não",H18="Não"),"🔴 INCONSISTENTE",IF(OR(COUNTBLANK(B18:F18)&gt;0,I18="Revisar"),"🟡 REVISAR","🟢 COERENTE")))</f>
        <v/>
      </c>
    </row>
    <row r="19">
      <c r="A19" s="20" t="n"/>
      <c r="B19" s="20" t="n"/>
      <c r="C19" s="20" t="n"/>
      <c r="D19" s="20" t="n"/>
      <c r="E19" s="20" t="n"/>
      <c r="F19" s="20" t="n"/>
      <c r="G19" s="21">
        <f>IF(D19="","",IF(COUNTIF('ORÇAMENTO'!$B$8:$B$207,D19)&gt;0,"Sim","Não"))</f>
        <v/>
      </c>
      <c r="H19" s="21">
        <f>IF(E19="","",IF(COUNTIF(CRONOGRAMA!$A$8:$A$67,E19)&gt;0,"Sim","Não"))</f>
        <v/>
      </c>
      <c r="I19" s="20" t="n"/>
      <c r="J19" s="21">
        <f>IF(A19="","",IF(OR(COUNTBLANK(B19:F19)&gt;2,G19="Não",H19="Não"),"🔴 INCONSISTENTE",IF(OR(COUNTBLANK(B19:F19)&gt;0,I19="Revisar"),"🟡 REVISAR","🟢 COERENTE")))</f>
        <v/>
      </c>
    </row>
    <row r="22">
      <c r="A22" s="43" t="inlineStr">
        <is>
          <t>PARTE 2 — AS 6 PERGUNTAS DE CONSISTÊNCIA</t>
        </is>
      </c>
    </row>
    <row r="23" ht="42" customHeight="1">
      <c r="A23" s="14" t="inlineStr">
        <is>
          <t>Verificação</t>
        </is>
      </c>
      <c r="B23" s="14" t="inlineStr">
        <is>
          <t>Pergunta de controle</t>
        </is>
      </c>
      <c r="C23" s="14" t="inlineStr">
        <is>
          <t>Resposta (Sim / Parcial / Não)</t>
        </is>
      </c>
      <c r="D23" s="14" t="inlineStr">
        <is>
          <t>RESULTADO</t>
        </is>
      </c>
      <c r="E23" s="14" t="inlineStr">
        <is>
          <t>Onde corrigir</t>
        </is>
      </c>
    </row>
    <row r="24" ht="36" customHeight="1">
      <c r="A24" s="19" t="inlineStr">
        <is>
          <t>Objetivo x Meta</t>
        </is>
      </c>
      <c r="B24" s="4" t="inlineStr">
        <is>
          <t>Todo objetivo específico tem pelo menos uma meta com número?</t>
        </is>
      </c>
      <c r="C24" s="20" t="n"/>
      <c r="D24" s="21">
        <f>IF(C24="","",IF(C24="Sim","🟢 COERENTE",IF(C24="Parcial","🟡 REVISAR","🔴 INCONSISTENTE")))</f>
        <v/>
      </c>
      <c r="E24" s="4" t="inlineStr">
        <is>
          <t>MAPA DO PROJETO (objetivos/metas)</t>
        </is>
      </c>
    </row>
    <row r="25" ht="36" customHeight="1">
      <c r="A25" s="19" t="inlineStr">
        <is>
          <t>Meta x Produto</t>
        </is>
      </c>
      <c r="B25" s="4" t="inlineStr">
        <is>
          <t>Toda meta corresponde a um produto cadastrado no plano de distribuição?</t>
        </is>
      </c>
      <c r="C25" s="20" t="n"/>
      <c r="D25" s="21">
        <f>IF(C25="","",IF(C25="Sim","🟢 COERENTE",IF(C25="Parcial","🟡 REVISAR","🔴 INCONSISTENTE")))</f>
        <v/>
      </c>
      <c r="E25" s="4" t="inlineStr">
        <is>
          <t>Salic – Plano de distribuição</t>
        </is>
      </c>
    </row>
    <row r="26" ht="36" customHeight="1">
      <c r="A26" s="19" t="inlineStr">
        <is>
          <t>Produto x Orçamento</t>
        </is>
      </c>
      <c r="B26" s="4" t="inlineStr">
        <is>
          <t>Todo produto tem as despesas necessárias para existir (e nenhuma despesa sobra)?</t>
        </is>
      </c>
      <c r="C26" s="20" t="n"/>
      <c r="D26" s="21">
        <f>IF(C26="","",IF(C26="Sim","🟢 COERENTE",IF(C26="Parcial","🟡 REVISAR","🔴 INCONSISTENTE")))</f>
        <v/>
      </c>
      <c r="E26" s="4" t="inlineStr">
        <is>
          <t>ORÇAMENTO</t>
        </is>
      </c>
    </row>
    <row r="27" ht="36" customHeight="1">
      <c r="A27" s="19" t="inlineStr">
        <is>
          <t>Atividade x Cronograma</t>
        </is>
      </c>
      <c r="B27" s="4" t="inlineStr">
        <is>
          <t>Toda atividade da metodologia aparece no cronograma com data e responsável?</t>
        </is>
      </c>
      <c r="C27" s="20" t="n"/>
      <c r="D27" s="21">
        <f>IF(C27="","",IF(C27="Sim","🟢 COERENTE",IF(C27="Parcial","🟡 REVISAR","🔴 INCONSISTENTE")))</f>
        <v/>
      </c>
      <c r="E27" s="4" t="inlineStr">
        <is>
          <t>CRONOGRAMA</t>
        </is>
      </c>
    </row>
    <row r="28" ht="36" customHeight="1">
      <c r="A28" s="19" t="inlineStr">
        <is>
          <t>Público x Distribuição</t>
        </is>
      </c>
      <c r="B28" s="4" t="inlineStr">
        <is>
          <t>O público descrito bate com as faixas de distribuição (gratuidade, preço popular, locais)?</t>
        </is>
      </c>
      <c r="C28" s="20" t="n"/>
      <c r="D28" s="21">
        <f>IF(C28="","",IF(C28="Sim","🟢 COERENTE",IF(C28="Parcial","🟡 REVISAR","🔴 INCONSISTENTE")))</f>
        <v/>
      </c>
      <c r="E28" s="4" t="inlineStr">
        <is>
          <t>DISTRIBUICAO / Salic</t>
        </is>
      </c>
    </row>
    <row r="29" ht="36" customHeight="1">
      <c r="A29" s="19" t="inlineStr">
        <is>
          <t>Despesa x Metodologia</t>
        </is>
      </c>
      <c r="B29" s="4" t="inlineStr">
        <is>
          <t>Toda despesa tem 'por que existe' preenchido e ligado a uma etapa da metodologia?</t>
        </is>
      </c>
      <c r="C29" s="20" t="n"/>
      <c r="D29" s="21">
        <f>IF(C29="","",IF(C29="Sim","🟢 COERENTE",IF(C29="Parcial","🟡 REVISAR","🔴 INCONSISTENTE")))</f>
        <v/>
      </c>
      <c r="E29" s="4" t="inlineStr">
        <is>
          <t>ORÇAMENTO coluna M</t>
        </is>
      </c>
    </row>
    <row r="31">
      <c r="A31" s="5" t="inlineStr">
        <is>
          <t>Checagem automática</t>
        </is>
      </c>
      <c r="B31" t="inlineStr">
        <is>
          <t>Despesas sem 'por que existe' no ORÇAMENTO:</t>
        </is>
      </c>
      <c r="D31">
        <f>COUNTIFS('ORÇAMENTO'!$G$8:$G$207,"&gt;0",'ORÇAMENTO'!$M$8:$M$207,"")</f>
        <v/>
      </c>
    </row>
    <row r="32">
      <c r="B32" t="inlineStr">
        <is>
          <t>Atividades do cronograma em etapa sem despesa:</t>
        </is>
      </c>
      <c r="D32">
        <f>COUNTIF(CRONOGRAMA!$H$8:$H$67,"*Etapa sem despesa*")</f>
        <v/>
      </c>
    </row>
  </sheetData>
  <mergeCells count="2">
    <mergeCell ref="A1:J1"/>
    <mergeCell ref="A2:J2"/>
  </mergeCells>
  <conditionalFormatting sqref="J5:J19">
    <cfRule type="expression" priority="1" dxfId="0">
      <formula>LEFT(J5,2)="🔴"</formula>
    </cfRule>
    <cfRule type="expression" priority="2" dxfId="1">
      <formula>LEFT(J5,2)="🟡"</formula>
    </cfRule>
    <cfRule type="expression" priority="3" dxfId="2">
      <formula>LEFT(J5,2)="🟢"</formula>
    </cfRule>
    <cfRule type="expression" priority="4" dxfId="0">
      <formula>ISNUMBER(SEARCH("🔴",J5))</formula>
    </cfRule>
    <cfRule type="expression" priority="5" dxfId="1">
      <formula>ISNUMBER(SEARCH("🟡",J5))</formula>
    </cfRule>
  </conditionalFormatting>
  <conditionalFormatting sqref="D24:D29">
    <cfRule type="expression" priority="6" dxfId="0">
      <formula>LEFT(D24,2)="🔴"</formula>
    </cfRule>
    <cfRule type="expression" priority="7" dxfId="1">
      <formula>LEFT(D24,2)="🟡"</formula>
    </cfRule>
    <cfRule type="expression" priority="8" dxfId="2">
      <formula>LEFT(D24,2)="🟢"</formula>
    </cfRule>
    <cfRule type="expression" priority="9" dxfId="0">
      <formula>ISNUMBER(SEARCH("🔴",D24))</formula>
    </cfRule>
    <cfRule type="expression" priority="10" dxfId="1">
      <formula>ISNUMBER(SEARCH("🟡",D24))</formula>
    </cfRule>
  </conditionalFormatting>
  <dataValidations count="2">
    <dataValidation sqref="I5:I19" showDropDown="0" showInputMessage="0" showErrorMessage="0" allowBlank="1" error="Escolha uma opção da lista." type="list">
      <formula1>"OK,Revisar"</formula1>
    </dataValidation>
    <dataValidation sqref="C24:C29" showDropDown="0" showInputMessage="0" showErrorMessage="0" allowBlank="1" error="Escolha uma opção da lista." type="list">
      <formula1>"Sim,Parcial,Não"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14" customWidth="1" min="3" max="3"/>
    <col width="13" customWidth="1" min="4" max="4"/>
    <col width="13" customWidth="1" min="5" max="5"/>
    <col width="40" customWidth="1" min="6" max="6"/>
  </cols>
  <sheetData>
    <row r="1" ht="30" customHeight="1">
      <c r="A1" s="1" t="inlineStr">
        <is>
          <t>PLANILHA 5 — CHECKLIST SALIC (DO LOGIN AO ENVIO)</t>
        </is>
      </c>
    </row>
    <row r="2" ht="45" customHeight="1">
      <c r="A2" s="2" t="inlineStr">
        <is>
          <t>Use enquanto preenche o sistema. Os nomes das telas podem mudar: siga sempre o Manual do Proponente vigente (IN 2026) publicado pelo MinC.</t>
        </is>
      </c>
    </row>
    <row r="4" ht="42" customHeight="1">
      <c r="A4" s="14" t="inlineStr">
        <is>
          <t>Passo</t>
        </is>
      </c>
      <c r="B4" s="14" t="inlineStr">
        <is>
          <t>Item</t>
        </is>
      </c>
      <c r="C4" s="14" t="inlineStr">
        <is>
          <t>Obrigatório?</t>
        </is>
      </c>
      <c r="D4" s="14" t="inlineStr">
        <is>
          <t>Preparado?</t>
        </is>
      </c>
      <c r="E4" s="14" t="inlineStr">
        <is>
          <t>Revisado?</t>
        </is>
      </c>
      <c r="F4" s="14" t="inlineStr">
        <is>
          <t>Observação</t>
        </is>
      </c>
    </row>
    <row r="5">
      <c r="A5" s="4" t="inlineStr">
        <is>
          <t>1 Acesso</t>
        </is>
      </c>
      <c r="B5" s="4" t="inlineStr">
        <is>
          <t>Conta gov.br ativa, com senha e nível de acesso exigido pelo sistema</t>
        </is>
      </c>
      <c r="C5" s="4" t="inlineStr">
        <is>
          <t>Sim</t>
        </is>
      </c>
      <c r="D5" s="20" t="n"/>
      <c r="E5" s="20" t="n"/>
      <c r="F5" s="20" t="n"/>
    </row>
    <row r="6">
      <c r="A6" s="4" t="inlineStr">
        <is>
          <t>1 Acesso</t>
        </is>
      </c>
      <c r="B6" s="4" t="inlineStr">
        <is>
          <t>Acesso ao Salic realizado com o CPF do responsável</t>
        </is>
      </c>
      <c r="C6" s="4" t="inlineStr">
        <is>
          <t>Sim</t>
        </is>
      </c>
      <c r="D6" s="20" t="n"/>
      <c r="E6" s="20" t="n"/>
      <c r="F6" s="20" t="n"/>
    </row>
    <row r="7">
      <c r="A7" s="4" t="inlineStr">
        <is>
          <t>2 Cadastro</t>
        </is>
      </c>
      <c r="B7" s="4" t="inlineStr">
        <is>
          <t>Cadastro do proponente (PF ou PJ) completo e atualizado</t>
        </is>
      </c>
      <c r="C7" s="4" t="inlineStr">
        <is>
          <t>Sim</t>
        </is>
      </c>
      <c r="D7" s="20" t="n"/>
      <c r="E7" s="20" t="n"/>
      <c r="F7" s="20" t="n"/>
    </row>
    <row r="8">
      <c r="A8" s="4" t="inlineStr">
        <is>
          <t>2 Cadastro</t>
        </is>
      </c>
      <c r="B8" s="4" t="inlineStr">
        <is>
          <t>Dados de contato (e-mail e telefone) que você realmente acompanha</t>
        </is>
      </c>
      <c r="C8" s="4" t="inlineStr">
        <is>
          <t>Sim</t>
        </is>
      </c>
      <c r="D8" s="20" t="n"/>
      <c r="E8" s="20" t="n"/>
      <c r="F8" s="20" t="n"/>
    </row>
    <row r="9">
      <c r="A9" s="4" t="inlineStr">
        <is>
          <t>2 Cadastro</t>
        </is>
      </c>
      <c r="B9" s="4" t="inlineStr">
        <is>
          <t>Vinculação do responsável/procurador ao proponente PJ, quando aplicável</t>
        </is>
      </c>
      <c r="C9" s="4" t="inlineStr">
        <is>
          <t>Depende</t>
        </is>
      </c>
      <c r="D9" s="20" t="n"/>
      <c r="E9" s="20" t="n"/>
      <c r="F9" s="20" t="n"/>
    </row>
    <row r="10">
      <c r="A10" s="4" t="inlineStr">
        <is>
          <t>2 Cadastro</t>
        </is>
      </c>
      <c r="B10" s="4" t="inlineStr">
        <is>
          <t>Portfólio/comprovação de atuação cultural cadastrado no Salic (ou confirmação da dispensa de iniciante)</t>
        </is>
      </c>
      <c r="C10" s="4" t="inlineStr">
        <is>
          <t>Depende</t>
        </is>
      </c>
      <c r="D10" s="20" t="n"/>
      <c r="E10" s="20" t="n"/>
      <c r="F10" s="20" t="n"/>
    </row>
    <row r="11">
      <c r="A11" s="4" t="inlineStr">
        <is>
          <t>3 Nova proposta</t>
        </is>
      </c>
      <c r="B11" s="4" t="inlineStr">
        <is>
          <t>Declaração de responsabilidade lida antes de aceitar</t>
        </is>
      </c>
      <c r="C11" s="4" t="inlineStr">
        <is>
          <t>Sim</t>
        </is>
      </c>
      <c r="D11" s="20" t="n"/>
      <c r="E11" s="20" t="n"/>
      <c r="F11" s="20" t="n"/>
    </row>
    <row r="12">
      <c r="A12" s="4" t="inlineStr">
        <is>
          <t>4 Identificação</t>
        </is>
      </c>
      <c r="B12" s="4" t="inlineStr">
        <is>
          <t>Nome do projeto, área/segmento e enquadramento conferidos</t>
        </is>
      </c>
      <c r="C12" s="4" t="inlineStr">
        <is>
          <t>Sim</t>
        </is>
      </c>
      <c r="D12" s="20" t="n"/>
      <c r="E12" s="20" t="n"/>
      <c r="F12" s="20" t="n"/>
    </row>
    <row r="13">
      <c r="A13" s="4" t="inlineStr">
        <is>
          <t>4 Identificação</t>
        </is>
      </c>
      <c r="B13" s="4" t="inlineStr">
        <is>
          <t>Tipicidade/limites de orçamento conferidos na tela de identificação</t>
        </is>
      </c>
      <c r="C13" s="4" t="inlineStr">
        <is>
          <t>Sim</t>
        </is>
      </c>
      <c r="D13" s="20" t="n"/>
      <c r="E13" s="20" t="n"/>
      <c r="F13" s="20" t="n"/>
    </row>
    <row r="14">
      <c r="A14" s="4" t="inlineStr">
        <is>
          <t>5 Resumo</t>
        </is>
      </c>
      <c r="B14" s="4" t="inlineStr">
        <is>
          <t>Resumo colado do MAPA DO PROJETO e revisado</t>
        </is>
      </c>
      <c r="C14" s="4" t="inlineStr">
        <is>
          <t>Sim</t>
        </is>
      </c>
      <c r="D14" s="20" t="n"/>
      <c r="E14" s="20" t="n"/>
      <c r="F14" s="20" t="n"/>
    </row>
    <row r="15">
      <c r="A15" s="4" t="inlineStr">
        <is>
          <t>6 Objetivos</t>
        </is>
      </c>
      <c r="B15" s="4" t="inlineStr">
        <is>
          <t>Objetivo geral e específicos coerentes com metas</t>
        </is>
      </c>
      <c r="C15" s="4" t="inlineStr">
        <is>
          <t>Sim</t>
        </is>
      </c>
      <c r="D15" s="20" t="n"/>
      <c r="E15" s="20" t="n"/>
      <c r="F15" s="20" t="n"/>
    </row>
    <row r="16">
      <c r="A16" s="4" t="inlineStr">
        <is>
          <t>7 Justificativa</t>
        </is>
      </c>
      <c r="B16" s="4" t="inlineStr">
        <is>
          <t>Justificativa específica (sem texto genérico)</t>
        </is>
      </c>
      <c r="C16" s="4" t="inlineStr">
        <is>
          <t>Sim</t>
        </is>
      </c>
      <c r="D16" s="20" t="n"/>
      <c r="E16" s="20" t="n"/>
      <c r="F16" s="20" t="n"/>
    </row>
    <row r="17">
      <c r="A17" s="4" t="inlineStr">
        <is>
          <t>7 Justificativa</t>
        </is>
      </c>
      <c r="B17" s="4" t="inlineStr">
        <is>
          <t>Metodologia / etapas de trabalho descritas</t>
        </is>
      </c>
      <c r="C17" s="4" t="inlineStr">
        <is>
          <t>Sim</t>
        </is>
      </c>
      <c r="D17" s="20" t="n"/>
      <c r="E17" s="20" t="n"/>
      <c r="F17" s="20" t="n"/>
    </row>
    <row r="18">
      <c r="A18" s="4" t="inlineStr">
        <is>
          <t>8 Acessibilidade</t>
        </is>
      </c>
      <c r="B18" s="4" t="inlineStr">
        <is>
          <t>Medidas físicas, comunicacionais e atitudinais descritas por produto</t>
        </is>
      </c>
      <c r="C18" s="4" t="inlineStr">
        <is>
          <t>Sim</t>
        </is>
      </c>
      <c r="D18" s="20" t="n"/>
      <c r="E18" s="20" t="n"/>
      <c r="F18" s="20" t="n"/>
    </row>
    <row r="19">
      <c r="A19" s="4" t="inlineStr">
        <is>
          <t>9 Democratização</t>
        </is>
      </c>
      <c r="B19" s="4" t="inlineStr">
        <is>
          <t>Medidas de democratização de acesso descritas com números</t>
        </is>
      </c>
      <c r="C19" s="4" t="inlineStr">
        <is>
          <t>Sim</t>
        </is>
      </c>
      <c r="D19" s="20" t="n"/>
      <c r="E19" s="20" t="n"/>
      <c r="F19" s="20" t="n"/>
    </row>
    <row r="20">
      <c r="A20" s="4" t="inlineStr">
        <is>
          <t>10 Plano de distribuição</t>
        </is>
      </c>
      <c r="B20" s="4" t="inlineStr">
        <is>
          <t>Cada produto cadastrado com quantidades por faixa e preços</t>
        </is>
      </c>
      <c r="C20" s="4" t="inlineStr">
        <is>
          <t>Sim</t>
        </is>
      </c>
      <c r="D20" s="20" t="n"/>
      <c r="E20" s="20" t="n"/>
      <c r="F20" s="20" t="n"/>
    </row>
    <row r="21">
      <c r="A21" s="4" t="inlineStr">
        <is>
          <t>11 Localização</t>
        </is>
      </c>
      <c r="B21" s="4" t="inlineStr">
        <is>
          <t>Local(is) de realização: país, UF, município</t>
        </is>
      </c>
      <c r="C21" s="4" t="inlineStr">
        <is>
          <t>Sim</t>
        </is>
      </c>
      <c r="D21" s="20" t="n"/>
      <c r="E21" s="20" t="n"/>
      <c r="F21" s="20" t="n"/>
    </row>
    <row r="22">
      <c r="A22" s="4" t="inlineStr">
        <is>
          <t>12 Cronograma</t>
        </is>
      </c>
      <c r="B22" s="4" t="inlineStr">
        <is>
          <t>Período de execução informado (dentro do limite de execução)</t>
        </is>
      </c>
      <c r="C22" s="4" t="inlineStr">
        <is>
          <t>Sim</t>
        </is>
      </c>
      <c r="D22" s="20" t="n"/>
      <c r="E22" s="20" t="n"/>
      <c r="F22" s="20" t="n"/>
    </row>
    <row r="23">
      <c r="A23" s="4" t="inlineStr">
        <is>
          <t>13 Orçamento</t>
        </is>
      </c>
      <c r="B23" s="4" t="inlineStr">
        <is>
          <t>Planilha orçamentária lançada por produto/etapa, com unidade, quantidade e valor unitário</t>
        </is>
      </c>
      <c r="C23" s="4" t="inlineStr">
        <is>
          <t>Sim</t>
        </is>
      </c>
      <c r="D23" s="20" t="n"/>
      <c r="E23" s="20" t="n"/>
      <c r="F23" s="20" t="n"/>
    </row>
    <row r="24">
      <c r="A24" s="4" t="inlineStr">
        <is>
          <t>13 Orçamento</t>
        </is>
      </c>
      <c r="B24" s="4" t="inlineStr">
        <is>
          <t>Custos vinculados e captação conferidos no RADAR DE LIMITES</t>
        </is>
      </c>
      <c r="C24" s="4" t="inlineStr">
        <is>
          <t>Sim</t>
        </is>
      </c>
      <c r="D24" s="20" t="n"/>
      <c r="E24" s="20" t="n"/>
      <c r="F24" s="20" t="n"/>
    </row>
    <row r="25">
      <c r="A25" s="4" t="inlineStr">
        <is>
          <t>14 Outras fontes</t>
        </is>
      </c>
      <c r="B25" s="4" t="inlineStr">
        <is>
          <t>Outras fontes informadas somente se existem e estão comprometidas</t>
        </is>
      </c>
      <c r="C25" s="4" t="inlineStr">
        <is>
          <t>Depende</t>
        </is>
      </c>
      <c r="D25" s="20" t="n"/>
      <c r="E25" s="20" t="n"/>
      <c r="F25" s="20" t="n"/>
    </row>
    <row r="26">
      <c r="A26" s="4" t="inlineStr">
        <is>
          <t>15 Documentação</t>
        </is>
      </c>
      <c r="B26" s="4" t="inlineStr">
        <is>
          <t>Todos os documentos obrigatórios anexados ANTES do envio (IN 29/2026)</t>
        </is>
      </c>
      <c r="C26" s="4" t="inlineStr">
        <is>
          <t>Sim</t>
        </is>
      </c>
      <c r="D26" s="20" t="n"/>
      <c r="E26" s="20" t="n"/>
      <c r="F26" s="20" t="n"/>
    </row>
    <row r="27">
      <c r="A27" s="4" t="inlineStr">
        <is>
          <t>15 Documentação</t>
        </is>
      </c>
      <c r="B27" s="4" t="inlineStr">
        <is>
          <t>Documentos legíveis, dentro da validade, no formato aceito</t>
        </is>
      </c>
      <c r="C27" s="4" t="inlineStr">
        <is>
          <t>Sim</t>
        </is>
      </c>
      <c r="D27" s="20" t="n"/>
      <c r="E27" s="20" t="n"/>
      <c r="F27" s="20" t="n"/>
    </row>
    <row r="28">
      <c r="A28" s="4" t="inlineStr">
        <is>
          <t>16 Revisão</t>
        </is>
      </c>
      <c r="B28" s="4" t="inlineStr">
        <is>
          <t>CHECKLIST FINAL com zero 'NÃO'</t>
        </is>
      </c>
      <c r="C28" s="4" t="inlineStr">
        <is>
          <t>Sim</t>
        </is>
      </c>
      <c r="D28" s="20" t="n"/>
      <c r="E28" s="20" t="n"/>
      <c r="F28" s="20" t="n"/>
    </row>
    <row r="29">
      <c r="A29" s="4" t="inlineStr">
        <is>
          <t>16 Revisão</t>
        </is>
      </c>
      <c r="B29" s="4" t="inlineStr">
        <is>
          <t>Lista de pendências do Salic zerada</t>
        </is>
      </c>
      <c r="C29" s="4" t="inlineStr">
        <is>
          <t>Sim</t>
        </is>
      </c>
      <c r="D29" s="20" t="n"/>
      <c r="E29" s="20" t="n"/>
      <c r="F29" s="20" t="n"/>
    </row>
    <row r="30">
      <c r="A30" s="4" t="inlineStr">
        <is>
          <t>17 Envio</t>
        </is>
      </c>
      <c r="B30" s="4" t="inlineStr">
        <is>
          <t>Proposta enviada ao MinC até 31/10 — comprovante/print salvo</t>
        </is>
      </c>
      <c r="C30" s="4" t="inlineStr">
        <is>
          <t>Sim</t>
        </is>
      </c>
      <c r="D30" s="20" t="n"/>
      <c r="E30" s="20" t="n"/>
      <c r="F30" s="20" t="n"/>
    </row>
    <row r="31">
      <c r="A31" s="4" t="inlineStr">
        <is>
          <t>17 Envio</t>
        </is>
      </c>
      <c r="B31" s="4" t="inlineStr">
        <is>
          <t>Acompanhamento de diligências no Salic e no e-mail cadastrado</t>
        </is>
      </c>
      <c r="C31" s="4" t="inlineStr">
        <is>
          <t>Sim</t>
        </is>
      </c>
      <c r="D31" s="20" t="n"/>
      <c r="E31" s="20" t="n"/>
      <c r="F31" s="20" t="n"/>
    </row>
    <row r="33">
      <c r="B33" s="5" t="inlineStr">
        <is>
          <t>Itens preparados</t>
        </is>
      </c>
      <c r="D33">
        <f>COUNTIF(D5:D31,"Sim")&amp;" / "&amp;(COUNTA(B5:B31)-COUNTIF(D5:D31,"N/A"))</f>
        <v/>
      </c>
    </row>
    <row r="34">
      <c r="B34" s="5" t="inlineStr">
        <is>
          <t>Itens revisados</t>
        </is>
      </c>
      <c r="D34">
        <f>COUNTIF(E5:E31,"Sim")&amp;" / "&amp;(COUNTA(B5:B31)-COUNTIF(E5:E31,"N/A"))</f>
        <v/>
      </c>
    </row>
  </sheetData>
  <mergeCells count="2">
    <mergeCell ref="A2:F2"/>
    <mergeCell ref="A1:F1"/>
  </mergeCells>
  <dataValidations count="2">
    <dataValidation sqref="D5:D31" showDropDown="0" showInputMessage="0" showErrorMessage="0" allowBlank="1" error="Escolha uma opção da lista." type="list">
      <formula1>"Sim,Não,N/A"</formula1>
    </dataValidation>
    <dataValidation sqref="E5:E31" showDropDown="0" showInputMessage="0" showErrorMessage="0" allowBlank="1" error="Escolha uma opção da lista." type="list">
      <formula1>"Sim,Não,N/A"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8" customWidth="1" min="3" max="3"/>
    <col width="16" customWidth="1" min="4" max="4"/>
    <col width="14" customWidth="1" min="5" max="5"/>
    <col width="14" customWidth="1" min="6" max="6"/>
    <col width="50" customWidth="1" min="7" max="7"/>
  </cols>
  <sheetData>
    <row r="1" ht="30" customHeight="1">
      <c r="A1" s="1" t="inlineStr">
        <is>
          <t>PLANILHA 6 — CHECKLIST DE DOCUMENTOS</t>
        </is>
      </c>
    </row>
    <row r="2" ht="45" customHeight="1">
      <c r="A2" s="2" t="inlineStr">
        <is>
          <t>A lista oficial está no Manual do Proponente e na IN 29/2026 (e anexos). Esta planilha organiza; ela não substitui a lista oficial. 2026: documentos obrigatórios devem ser anexados na apresentação.</t>
        </is>
      </c>
    </row>
    <row r="4" ht="42" customHeight="1">
      <c r="A4" s="14" t="inlineStr">
        <is>
          <t>Grupo</t>
        </is>
      </c>
      <c r="B4" s="14" t="inlineStr">
        <is>
          <t>Documento</t>
        </is>
      </c>
      <c r="C4" s="14" t="inlineStr">
        <is>
          <t>Obrigatório?</t>
        </is>
      </c>
      <c r="D4" s="14" t="inlineStr">
        <is>
          <t>Aplicável ao meu projeto?</t>
        </is>
      </c>
      <c r="E4" s="14" t="inlineStr">
        <is>
          <t>Já tenho?</t>
        </is>
      </c>
      <c r="F4" s="14" t="inlineStr">
        <is>
          <t>Validade</t>
        </is>
      </c>
      <c r="G4" s="14" t="inlineStr">
        <is>
          <t>Observação</t>
        </is>
      </c>
    </row>
    <row r="5">
      <c r="A5" s="4" t="inlineStr">
        <is>
          <t>PROPONENTE</t>
        </is>
      </c>
      <c r="B5" s="4" t="inlineStr">
        <is>
          <t>Cadastro completo do proponente no Salic (dados pessoais ou da PJ)</t>
        </is>
      </c>
      <c r="C5" s="4" t="inlineStr">
        <is>
          <t>Sim</t>
        </is>
      </c>
      <c r="D5" s="20" t="n"/>
      <c r="E5" s="20" t="n"/>
      <c r="F5" s="30" t="n"/>
      <c r="G5" s="4" t="inlineStr">
        <is>
          <t>Base para tudo.</t>
        </is>
      </c>
    </row>
    <row r="6">
      <c r="A6" s="4" t="inlineStr">
        <is>
          <t>PROPONENTE</t>
        </is>
      </c>
      <c r="B6" s="4" t="inlineStr">
        <is>
          <t>Documento de identificação / CPF do proponente PF ou do responsável legal</t>
        </is>
      </c>
      <c r="C6" s="4" t="inlineStr">
        <is>
          <t>Conforme Manual</t>
        </is>
      </c>
      <c r="D6" s="20" t="n"/>
      <c r="E6" s="20" t="n"/>
      <c r="F6" s="30" t="n"/>
      <c r="G6" s="4" t="inlineStr">
        <is>
          <t>Confira o que o Salic pede no cadastro.</t>
        </is>
      </c>
    </row>
    <row r="7">
      <c r="A7" s="4" t="inlineStr">
        <is>
          <t>PROPONENTE</t>
        </is>
      </c>
      <c r="B7" s="4" t="inlineStr">
        <is>
          <t>CNPJ, ato constitutivo/estatuto/contrato social e ata de eleição da diretoria (PJ)</t>
        </is>
      </c>
      <c r="C7" s="4" t="inlineStr">
        <is>
          <t>Sim para PJ</t>
        </is>
      </c>
      <c r="D7" s="20" t="n"/>
      <c r="E7" s="20" t="n"/>
      <c r="F7" s="30" t="n"/>
      <c r="G7" s="4" t="inlineStr">
        <is>
          <t>Natureza cultural deve constar no ato constitutivo/CNAE (PJ).</t>
        </is>
      </c>
    </row>
    <row r="8">
      <c r="A8" s="4" t="inlineStr">
        <is>
          <t>PROPONENTE</t>
        </is>
      </c>
      <c r="B8" s="4" t="inlineStr">
        <is>
          <t>Comprovação de atuação na área cultural (portfólio no Salic)</t>
        </is>
      </c>
      <c r="C8" s="4" t="inlineStr">
        <is>
          <t>Depende</t>
        </is>
      </c>
      <c r="D8" s="20" t="n"/>
      <c r="E8" s="20" t="n"/>
      <c r="F8" s="30" t="n"/>
      <c r="G8" s="4" t="inlineStr">
        <is>
          <t>Dispensa para primeiro projeto até R$ 200 mil — confira a redação oficial.</t>
        </is>
      </c>
    </row>
    <row r="9">
      <c r="A9" s="4" t="inlineStr">
        <is>
          <t>PROPONENTE</t>
        </is>
      </c>
      <c r="B9" s="4" t="inlineStr">
        <is>
          <t>Procuração, quando outra pessoa opera o Salic em nome do proponente</t>
        </is>
      </c>
      <c r="C9" s="4" t="inlineStr">
        <is>
          <t>Eventual</t>
        </is>
      </c>
      <c r="D9" s="20" t="n"/>
      <c r="E9" s="20" t="n"/>
      <c r="F9" s="30" t="n"/>
      <c r="G9" s="4" t="inlineStr">
        <is>
          <t>Somente se houver procurador.</t>
        </is>
      </c>
    </row>
    <row r="10">
      <c r="A10" s="4" t="inlineStr">
        <is>
          <t>PROPONENTE</t>
        </is>
      </c>
      <c r="B10" s="4" t="inlineStr">
        <is>
          <t>Situação de regularidade (certidões) exigidas nas fases previstas</t>
        </is>
      </c>
      <c r="C10" s="4" t="inlineStr">
        <is>
          <t>Conforme fase</t>
        </is>
      </c>
      <c r="D10" s="20" t="n"/>
      <c r="E10" s="20" t="n"/>
      <c r="F10" s="30" t="n"/>
      <c r="G10" s="4" t="inlineStr">
        <is>
          <t>Algumas exigências ocorrem em fases posteriores; confira.</t>
        </is>
      </c>
    </row>
    <row r="11">
      <c r="A11" s="4" t="inlineStr">
        <is>
          <t>PROJETO</t>
        </is>
      </c>
      <c r="B11" s="4" t="inlineStr">
        <is>
          <t>Currículo/portfólio dos principais profissionais do projeto</t>
        </is>
      </c>
      <c r="C11" s="4" t="inlineStr">
        <is>
          <t>Conforme Manual</t>
        </is>
      </c>
      <c r="D11" s="20" t="n"/>
      <c r="E11" s="20" t="n"/>
      <c r="F11" s="30" t="n"/>
      <c r="G11" s="4" t="inlineStr">
        <is>
          <t>Mostra capacidade de execução.</t>
        </is>
      </c>
    </row>
    <row r="12">
      <c r="A12" s="4" t="inlineStr">
        <is>
          <t>PROJETO</t>
        </is>
      </c>
      <c r="B12" s="4" t="inlineStr">
        <is>
          <t>Cartas de anuência/aceite dos principais participantes</t>
        </is>
      </c>
      <c r="C12" s="4" t="inlineStr">
        <is>
          <t>Conforme segmento</t>
        </is>
      </c>
      <c r="D12" s="20" t="n"/>
      <c r="E12" s="20" t="n"/>
      <c r="F12" s="30" t="n"/>
      <c r="G12" s="4" t="inlineStr">
        <is>
          <t>Artistas, curadores, instituições parceiras.</t>
        </is>
      </c>
    </row>
    <row r="13">
      <c r="A13" s="4" t="inlineStr">
        <is>
          <t>PROJETO</t>
        </is>
      </c>
      <c r="B13" s="4" t="inlineStr">
        <is>
          <t>Anuência/autorização do local de realização</t>
        </is>
      </c>
      <c r="C13" s="4" t="inlineStr">
        <is>
          <t>Conforme segmento</t>
        </is>
      </c>
      <c r="D13" s="20" t="n"/>
      <c r="E13" s="20" t="n"/>
      <c r="F13" s="30" t="n"/>
      <c r="G13" s="4" t="inlineStr">
        <is>
          <t>Quando o local é de terceiros.</t>
        </is>
      </c>
    </row>
    <row r="14">
      <c r="A14" s="4" t="inlineStr">
        <is>
          <t>ESPECÍFICOS</t>
        </is>
      </c>
      <c r="B14" s="4" t="inlineStr">
        <is>
          <t>Documentos exigidos para o segmento (ex.: patrimônio, audiovisual, livro, plano anual)</t>
        </is>
      </c>
      <c r="C14" s="4" t="inlineStr">
        <is>
          <t>Depende do segmento</t>
        </is>
      </c>
      <c r="D14" s="20" t="n"/>
      <c r="E14" s="20" t="n"/>
      <c r="F14" s="30" t="n"/>
      <c r="G14" s="4" t="inlineStr">
        <is>
          <t>Veja o anexo/lista do segmento na norma e no Manual.</t>
        </is>
      </c>
    </row>
    <row r="15">
      <c r="A15" s="4" t="inlineStr">
        <is>
          <t>ESPECÍFICOS</t>
        </is>
      </c>
      <c r="B15" s="4" t="inlineStr">
        <is>
          <t>Autorização de órgãos de patrimônio (tombamento) — projetos de patrimônio</t>
        </is>
      </c>
      <c r="C15" s="4" t="inlineStr">
        <is>
          <t>Depende</t>
        </is>
      </c>
      <c r="D15" s="20" t="n"/>
      <c r="E15" s="20" t="n"/>
      <c r="F15" s="30" t="n"/>
      <c r="G15" s="4" t="inlineStr">
        <is>
          <t>Iphan/órgão estadual/municipal quando aplicável.</t>
        </is>
      </c>
    </row>
    <row r="16">
      <c r="A16" s="4" t="inlineStr">
        <is>
          <t>ESPECÍFICOS</t>
        </is>
      </c>
      <c r="B16" s="4" t="inlineStr">
        <is>
          <t>Autorização de direitos autorais / cessão de direitos, quando aplicável</t>
        </is>
      </c>
      <c r="C16" s="4" t="inlineStr">
        <is>
          <t>Depende</t>
        </is>
      </c>
      <c r="D16" s="20" t="n"/>
      <c r="E16" s="20" t="n"/>
      <c r="F16" s="30" t="n"/>
      <c r="G16" s="4" t="inlineStr">
        <is>
          <t>Obras de terceiros.</t>
        </is>
      </c>
    </row>
    <row r="17">
      <c r="A17" s="4" t="inlineStr">
        <is>
          <t>EVENTUAIS</t>
        </is>
      </c>
      <c r="B17" s="4" t="inlineStr">
        <is>
          <t>Comprovante de outras fontes de recurso (cartas de compromisso)</t>
        </is>
      </c>
      <c r="C17" s="4" t="inlineStr">
        <is>
          <t>Eventual</t>
        </is>
      </c>
      <c r="D17" s="20" t="n"/>
      <c r="E17" s="20" t="n"/>
      <c r="F17" s="30" t="n"/>
      <c r="G17" s="4" t="inlineStr">
        <is>
          <t>Só declare fonte que existe.</t>
        </is>
      </c>
    </row>
    <row r="18">
      <c r="A18" s="4" t="inlineStr">
        <is>
          <t>EVENTUAIS</t>
        </is>
      </c>
      <c r="B18" s="4" t="inlineStr">
        <is>
          <t>Orçamentos de referência / cotações para itens de maior valor</t>
        </is>
      </c>
      <c r="C18" s="4" t="inlineStr">
        <is>
          <t>Recomendado</t>
        </is>
      </c>
      <c r="D18" s="20" t="n"/>
      <c r="E18" s="20" t="n"/>
      <c r="F18" s="30" t="n"/>
      <c r="G18" s="4" t="inlineStr">
        <is>
          <t>Ajuda a comprovar preço de mercado se questionado.</t>
        </is>
      </c>
    </row>
    <row r="19">
      <c r="A19" s="4" t="inlineStr">
        <is>
          <t>EVENTUAIS</t>
        </is>
      </c>
      <c r="B19" s="4" t="inlineStr">
        <is>
          <t>Documentos solicitados em diligência</t>
        </is>
      </c>
      <c r="C19" s="4" t="inlineStr">
        <is>
          <t>Eventual</t>
        </is>
      </c>
      <c r="D19" s="20" t="n"/>
      <c r="E19" s="20" t="n"/>
      <c r="F19" s="30" t="n"/>
      <c r="G19" s="4" t="inlineStr">
        <is>
          <t>Responda dentro do prazo indicado.</t>
        </is>
      </c>
    </row>
    <row r="20">
      <c r="A20" s="20" t="n"/>
      <c r="B20" s="20" t="n"/>
      <c r="C20" s="20" t="n"/>
      <c r="D20" s="20" t="n"/>
      <c r="E20" s="20" t="n"/>
      <c r="F20" s="20" t="n"/>
      <c r="G20" s="20" t="n"/>
    </row>
    <row r="21">
      <c r="A21" s="20" t="n"/>
      <c r="B21" s="20" t="n"/>
      <c r="C21" s="20" t="n"/>
      <c r="D21" s="20" t="n"/>
      <c r="E21" s="20" t="n"/>
      <c r="F21" s="20" t="n"/>
      <c r="G21" s="20" t="n"/>
    </row>
    <row r="22">
      <c r="A22" s="20" t="n"/>
      <c r="B22" s="20" t="n"/>
      <c r="C22" s="20" t="n"/>
      <c r="D22" s="20" t="n"/>
      <c r="E22" s="20" t="n"/>
      <c r="F22" s="20" t="n"/>
      <c r="G22" s="20" t="n"/>
    </row>
    <row r="23">
      <c r="A23" s="20" t="n"/>
      <c r="B23" s="20" t="n"/>
      <c r="C23" s="20" t="n"/>
      <c r="D23" s="20" t="n"/>
      <c r="E23" s="20" t="n"/>
      <c r="F23" s="20" t="n"/>
      <c r="G23" s="20" t="n"/>
    </row>
    <row r="24">
      <c r="A24" s="20" t="n"/>
      <c r="B24" s="20" t="n"/>
      <c r="C24" s="20" t="n"/>
      <c r="D24" s="20" t="n"/>
      <c r="E24" s="20" t="n"/>
      <c r="F24" s="20" t="n"/>
      <c r="G24" s="20" t="n"/>
    </row>
    <row r="25">
      <c r="A25" s="20" t="n"/>
      <c r="B25" s="20" t="n"/>
      <c r="C25" s="20" t="n"/>
      <c r="D25" s="20" t="n"/>
      <c r="E25" s="20" t="n"/>
      <c r="F25" s="20" t="n"/>
      <c r="G25" s="20" t="n"/>
    </row>
    <row r="26">
      <c r="A26" s="20" t="n"/>
      <c r="B26" s="20" t="n"/>
      <c r="C26" s="20" t="n"/>
      <c r="D26" s="20" t="n"/>
      <c r="E26" s="20" t="n"/>
      <c r="F26" s="20" t="n"/>
      <c r="G26" s="20" t="n"/>
    </row>
    <row r="28">
      <c r="B28" s="5" t="inlineStr">
        <is>
          <t>Documentos aplicáveis ainda pendentes</t>
        </is>
      </c>
      <c r="C28">
        <f>COUNTIFS(D5:D26,"Sim",E5:E26,"&lt;&gt;Sim")</f>
        <v/>
      </c>
    </row>
    <row r="29">
      <c r="B29" s="5" t="inlineStr">
        <is>
          <t>Documentos vencendo em até 30 dias</t>
        </is>
      </c>
      <c r="C29">
        <f>COUNTIFS(F5:F26,"&gt;="&amp;TODAY(),F5:F26,"&lt;="&amp;TODAY()+30)</f>
        <v/>
      </c>
    </row>
  </sheetData>
  <mergeCells count="2">
    <mergeCell ref="A2:G2"/>
    <mergeCell ref="A1:G1"/>
  </mergeCells>
  <conditionalFormatting sqref="F5:F26">
    <cfRule type="expression" priority="1" dxfId="0">
      <formula>AND(F5&lt;&gt;"",F5&lt;TODAY())</formula>
    </cfRule>
    <cfRule type="expression" priority="2" dxfId="1">
      <formula>AND(F5&lt;&gt;"",F5&lt;=TODAY()+30)</formula>
    </cfRule>
  </conditionalFormatting>
  <dataValidations count="2">
    <dataValidation sqref="D5:D26" showDropDown="0" showInputMessage="0" showErrorMessage="0" allowBlank="1" error="Escolha uma opção da lista." type="list">
      <formula1>"Sim,Não"</formula1>
    </dataValidation>
    <dataValidation sqref="E5:E26" showDropDown="0" showInputMessage="0" showErrorMessage="0" allowBlank="1" error="Escolha uma opção da lista." type="list">
      <formula1>"Sim,Não,Em andamento"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16" customWidth="1" min="3" max="3"/>
    <col width="32" customWidth="1" min="4" max="4"/>
  </cols>
  <sheetData>
    <row r="1" ht="30" customHeight="1">
      <c r="A1" s="1" t="inlineStr">
        <is>
          <t>CHECKLIST FINAL — ANTES DE CLICAR EM ENVIAR</t>
        </is>
      </c>
    </row>
    <row r="2" ht="45" customHeight="1">
      <c r="A2" s="2" t="inlineStr">
        <is>
          <t>Marque SIM, NÃO ou N/A. Meta: zero NÃO. Qualquer NÃO = corrija antes de enviar.</t>
        </is>
      </c>
    </row>
    <row r="4" ht="42" customHeight="1">
      <c r="A4" s="14" t="inlineStr">
        <is>
          <t>Bloco</t>
        </is>
      </c>
      <c r="B4" s="14" t="inlineStr">
        <is>
          <t>Verificação</t>
        </is>
      </c>
      <c r="C4" s="14" t="inlineStr">
        <is>
          <t>SIM / NÃO / N/A</t>
        </is>
      </c>
      <c r="D4" s="14" t="inlineStr">
        <is>
          <t>Onde corrigir</t>
        </is>
      </c>
    </row>
    <row r="5">
      <c r="A5" s="19" t="inlineStr">
        <is>
          <t>A. PROPONENTE</t>
        </is>
      </c>
      <c r="B5" s="4" t="inlineStr">
        <is>
          <t>Meu cadastro no Salic está completo, com e-mail e telefone que eu acompanho.</t>
        </is>
      </c>
      <c r="C5" s="20" t="n"/>
      <c r="D5" s="4" t="inlineStr">
        <is>
          <t>Salic – cadastro</t>
        </is>
      </c>
    </row>
    <row r="6">
      <c r="A6" s="19" t="inlineStr">
        <is>
          <t>A. PROPONENTE</t>
        </is>
      </c>
      <c r="B6" s="4" t="inlineStr">
        <is>
          <t>Sei se sou PF, MEI ou demais PJ e conferi o limite de projetos ativos e o teto global do meu tipo.</t>
        </is>
      </c>
      <c r="C6" s="20" t="n"/>
      <c r="D6" s="4" t="inlineStr">
        <is>
          <t>RADAR – linha J</t>
        </is>
      </c>
    </row>
    <row r="7">
      <c r="A7" s="19" t="inlineStr">
        <is>
          <t>A. PROPONENTE</t>
        </is>
      </c>
      <c r="B7" s="4" t="inlineStr">
        <is>
          <t>Se sou PJ, a finalidade cultural consta do ato constitutivo / atividade econômica.</t>
        </is>
      </c>
      <c r="C7" s="20" t="n"/>
      <c r="D7" s="4" t="inlineStr">
        <is>
          <t>Documentos da PJ</t>
        </is>
      </c>
    </row>
    <row r="8">
      <c r="A8" s="19" t="inlineStr">
        <is>
          <t>A. PROPONENTE</t>
        </is>
      </c>
      <c r="B8" s="4" t="inlineStr">
        <is>
          <t>Comprovação de atuação cultural cadastrada (portfólio) OU confirmei que estou na dispensa de primeiro projeto até R$ 200 mil.</t>
        </is>
      </c>
      <c r="C8" s="20" t="n"/>
      <c r="D8" s="4" t="inlineStr">
        <is>
          <t>RADAR – linha I</t>
        </is>
      </c>
    </row>
    <row r="9">
      <c r="A9" s="19" t="inlineStr">
        <is>
          <t>A. PROPONENTE</t>
        </is>
      </c>
      <c r="B9" s="4" t="inlineStr">
        <is>
          <t>Se alguém opera o Salic por mim, a procuração/vinculação está correta.</t>
        </is>
      </c>
      <c r="C9" s="20" t="n"/>
      <c r="D9" s="4" t="inlineStr">
        <is>
          <t>Salic – cadastro</t>
        </is>
      </c>
    </row>
    <row r="10">
      <c r="A10" s="19" t="inlineStr">
        <is>
          <t>B. PROJETO</t>
        </is>
      </c>
      <c r="B10" s="4" t="inlineStr">
        <is>
          <t>Nome do projeto claro e igual em todos os documentos.</t>
        </is>
      </c>
      <c r="C10" s="20" t="n"/>
      <c r="D10" s="4" t="inlineStr">
        <is>
          <t>MAPA DO PROJETO</t>
        </is>
      </c>
    </row>
    <row r="11">
      <c r="A11" s="19" t="inlineStr">
        <is>
          <t>B. PROJETO</t>
        </is>
      </c>
      <c r="B11" s="4" t="inlineStr">
        <is>
          <t>Área, segmento e enquadramento conferidos na tela de identificação.</t>
        </is>
      </c>
      <c r="C11" s="20" t="n"/>
      <c r="D11" s="4" t="inlineStr">
        <is>
          <t>Salic – identificação</t>
        </is>
      </c>
    </row>
    <row r="12">
      <c r="A12" s="19" t="inlineStr">
        <is>
          <t>B. PROJETO</t>
        </is>
      </c>
      <c r="B12" s="4" t="inlineStr">
        <is>
          <t>Resumo responde O QUÊ, ONDE, QUANDO, PARA QUEM e COMO.</t>
        </is>
      </c>
      <c r="C12" s="20" t="n"/>
      <c r="D12" s="4" t="inlineStr">
        <is>
          <t>MAPA DO PROJETO</t>
        </is>
      </c>
    </row>
    <row r="13">
      <c r="A13" s="19" t="inlineStr">
        <is>
          <t>B. PROJETO</t>
        </is>
      </c>
      <c r="B13" s="4" t="inlineStr">
        <is>
          <t>Período de execução dentro do limite de execução da IN 29/2026 (máx. 36 meses).</t>
        </is>
      </c>
      <c r="C13" s="20" t="n"/>
      <c r="D13" s="4" t="inlineStr">
        <is>
          <t>CRONOGRAMA</t>
        </is>
      </c>
    </row>
    <row r="14">
      <c r="A14" s="19" t="inlineStr">
        <is>
          <t>C. OBJETIVOS</t>
        </is>
      </c>
      <c r="B14" s="4" t="inlineStr">
        <is>
          <t>O objetivo geral é uma frase, com verbo no infinitivo.</t>
        </is>
      </c>
      <c r="C14" s="20" t="n"/>
      <c r="D14" s="4" t="inlineStr">
        <is>
          <t>MAPA DO PROJETO</t>
        </is>
      </c>
    </row>
    <row r="15">
      <c r="A15" s="19" t="inlineStr">
        <is>
          <t>C. OBJETIVOS</t>
        </is>
      </c>
      <c r="B15" s="4" t="inlineStr">
        <is>
          <t>Cada objetivo específico tem pelo menos uma meta com número.</t>
        </is>
      </c>
      <c r="C15" s="20" t="n"/>
      <c r="D15" s="4" t="inlineStr">
        <is>
          <t>MATRIZ – Objetivo x Meta</t>
        </is>
      </c>
    </row>
    <row r="16">
      <c r="A16" s="19" t="inlineStr">
        <is>
          <t>C. OBJETIVOS</t>
        </is>
      </c>
      <c r="B16" s="4" t="inlineStr">
        <is>
          <t>Cada meta corresponde a um produto do plano de distribuição.</t>
        </is>
      </c>
      <c r="C16" s="20" t="n"/>
      <c r="D16" s="4" t="inlineStr">
        <is>
          <t>MATRIZ – Meta x Produto</t>
        </is>
      </c>
    </row>
    <row r="17">
      <c r="A17" s="19" t="inlineStr">
        <is>
          <t>D. JUSTIFICATIVA</t>
        </is>
      </c>
      <c r="B17" s="4" t="inlineStr">
        <is>
          <t>A justificativa fala do MEU território, público e lacuna (sem texto genérico).</t>
        </is>
      </c>
      <c r="C17" s="20" t="n"/>
      <c r="D17" s="4" t="inlineStr">
        <is>
          <t>MAPA DO PROJETO</t>
        </is>
      </c>
    </row>
    <row r="18">
      <c r="A18" s="19" t="inlineStr">
        <is>
          <t>D. JUSTIFICATIVA</t>
        </is>
      </c>
      <c r="B18" s="4" t="inlineStr">
        <is>
          <t>Explico por que eu/minha equipe tenho condições de executar.</t>
        </is>
      </c>
      <c r="C18" s="20" t="n"/>
      <c r="D18" s="4" t="inlineStr">
        <is>
          <t>MAPA DO PROJETO</t>
        </is>
      </c>
    </row>
    <row r="19">
      <c r="A19" s="19" t="inlineStr">
        <is>
          <t>D. JUSTIFICATIVA</t>
        </is>
      </c>
      <c r="B19" s="4" t="inlineStr">
        <is>
          <t>Relacionei o projeto às finalidades da Lei 8.313/1991.</t>
        </is>
      </c>
      <c r="C19" s="20" t="n"/>
      <c r="D19" s="4" t="inlineStr">
        <is>
          <t>MAPA DO PROJETO</t>
        </is>
      </c>
    </row>
    <row r="20">
      <c r="A20" s="19" t="inlineStr">
        <is>
          <t>E. METODOLOGIA</t>
        </is>
      </c>
      <c r="B20" s="4" t="inlineStr">
        <is>
          <t>Cada etapa da metodologia tem atividade no cronograma.</t>
        </is>
      </c>
      <c r="C20" s="20" t="n"/>
      <c r="D20" s="4" t="inlineStr">
        <is>
          <t>MATRIZ – Atividade x Cronograma</t>
        </is>
      </c>
    </row>
    <row r="21">
      <c r="A21" s="19" t="inlineStr">
        <is>
          <t>E. METODOLOGIA</t>
        </is>
      </c>
      <c r="B21" s="4" t="inlineStr">
        <is>
          <t>Cada etapa da metodologia tem despesa no orçamento (ou explico por que não tem custo).</t>
        </is>
      </c>
      <c r="C21" s="20" t="n"/>
      <c r="D21" s="4" t="inlineStr">
        <is>
          <t>CRONOGRAMA – alertas</t>
        </is>
      </c>
    </row>
    <row r="22">
      <c r="A22" s="19" t="inlineStr">
        <is>
          <t>E. METODOLOGIA</t>
        </is>
      </c>
      <c r="B22" s="4" t="inlineStr">
        <is>
          <t>Ficou claro quem faz o quê (funções principais).</t>
        </is>
      </c>
      <c r="C22" s="20" t="n"/>
      <c r="D22" s="4" t="inlineStr">
        <is>
          <t>MAPA DO PROJETO</t>
        </is>
      </c>
    </row>
    <row r="23">
      <c r="A23" s="19" t="inlineStr">
        <is>
          <t>F. PÚBLICO</t>
        </is>
      </c>
      <c r="B23" s="4" t="inlineStr">
        <is>
          <t>Público-alvo descrito com perfil, território e estimativa numérica.</t>
        </is>
      </c>
      <c r="C23" s="20" t="n"/>
      <c r="D23" s="4" t="inlineStr">
        <is>
          <t>MAPA DO PROJETO</t>
        </is>
      </c>
    </row>
    <row r="24">
      <c r="A24" s="19" t="inlineStr">
        <is>
          <t>F. PÚBLICO</t>
        </is>
      </c>
      <c r="B24" s="4" t="inlineStr">
        <is>
          <t>Beneficiários de gratuidade/formação estão identificados.</t>
        </is>
      </c>
      <c r="C24" s="20" t="n"/>
      <c r="D24" s="4" t="inlineStr">
        <is>
          <t>MAPA DO PROJETO</t>
        </is>
      </c>
    </row>
    <row r="25">
      <c r="A25" s="19" t="inlineStr">
        <is>
          <t>F. PÚBLICO</t>
        </is>
      </c>
      <c r="B25" s="4" t="inlineStr">
        <is>
          <t>O público bate com as faixas do plano de distribuição.</t>
        </is>
      </c>
      <c r="C25" s="20" t="n"/>
      <c r="D25" s="4" t="inlineStr">
        <is>
          <t>MATRIZ – Público x Distribuição</t>
        </is>
      </c>
    </row>
    <row r="26">
      <c r="A26" s="19" t="inlineStr">
        <is>
          <t>G. ACESSIBILIDADE</t>
        </is>
      </c>
      <c r="B26" s="4" t="inlineStr">
        <is>
          <t>Previ medidas de acessibilidade física adequadas a cada local.</t>
        </is>
      </c>
      <c r="C26" s="20" t="n"/>
      <c r="D26" s="4" t="inlineStr">
        <is>
          <t>CHECKLIST DE ACESSIBILIDADE</t>
        </is>
      </c>
    </row>
    <row r="27">
      <c r="A27" s="19" t="inlineStr">
        <is>
          <t>G. ACESSIBILIDADE</t>
        </is>
      </c>
      <c r="B27" s="4" t="inlineStr">
        <is>
          <t>Previ medidas de acessibilidade comunicacional (ex.: Libras, audiodescrição, legendas) por produto.</t>
        </is>
      </c>
      <c r="C27" s="20" t="n"/>
      <c r="D27" s="4" t="inlineStr">
        <is>
          <t>CHECKLIST DE ACESSIBILIDADE</t>
        </is>
      </c>
    </row>
    <row r="28">
      <c r="A28" s="19" t="inlineStr">
        <is>
          <t>G. ACESSIBILIDADE</t>
        </is>
      </c>
      <c r="B28" s="4" t="inlineStr">
        <is>
          <t>Previ medidas atitudinais (equipe orientada, atendimento).</t>
        </is>
      </c>
      <c r="C28" s="20" t="n"/>
      <c r="D28" s="4" t="inlineStr">
        <is>
          <t>CHECKLIST DE ACESSIBILIDADE</t>
        </is>
      </c>
    </row>
    <row r="29">
      <c r="A29" s="19" t="inlineStr">
        <is>
          <t>G. ACESSIBILIDADE</t>
        </is>
      </c>
      <c r="B29" s="4" t="inlineStr">
        <is>
          <t>Toda medida de acessibilidade prometida tem custo no orçamento (ou explicação de por que não custa).</t>
        </is>
      </c>
      <c r="C29" s="20" t="n"/>
      <c r="D29" s="4" t="inlineStr">
        <is>
          <t>ORÇAMENTO</t>
        </is>
      </c>
    </row>
    <row r="30">
      <c r="A30" s="19" t="inlineStr">
        <is>
          <t>G. ACESSIBILIDADE</t>
        </is>
      </c>
      <c r="B30" s="4" t="inlineStr">
        <is>
          <t>Custos de acessibilidade/comunicação/divulgação acessíveis ≤ 20% do VALOR DO PROJETO.</t>
        </is>
      </c>
      <c r="C30" s="20" t="n"/>
      <c r="D30" s="4" t="inlineStr">
        <is>
          <t>RADAR – linha D1</t>
        </is>
      </c>
    </row>
    <row r="31">
      <c r="A31" s="19" t="inlineStr">
        <is>
          <t>H. DEMOCRATIZAÇÃO</t>
        </is>
      </c>
      <c r="B31" s="4" t="inlineStr">
        <is>
          <t>Faixas promocionais (patrocinador e proponente) dentro dos máximos.</t>
        </is>
      </c>
      <c r="C31" s="20" t="n"/>
      <c r="D31" s="4" t="inlineStr">
        <is>
          <t>DISTRIBUICAO</t>
        </is>
      </c>
    </row>
    <row r="32">
      <c r="A32" s="19" t="inlineStr">
        <is>
          <t>H. DEMOCRATIZAÇÃO</t>
        </is>
      </c>
      <c r="B32" s="4" t="inlineStr">
        <is>
          <t>Distribuição gratuita social/educativa e preço popular atingem os mínimos (ou o projeto é gratuito).</t>
        </is>
      </c>
      <c r="C32" s="20" t="n"/>
      <c r="D32" s="4" t="inlineStr">
        <is>
          <t>DISTRIBUICAO</t>
        </is>
      </c>
    </row>
    <row r="33">
      <c r="A33" s="19" t="inlineStr">
        <is>
          <t>H. DEMOCRATIZAÇÃO</t>
        </is>
      </c>
      <c r="B33" s="4" t="inlineStr">
        <is>
          <t>Preço popular e preço médio dentro dos tetos da norma vigente.</t>
        </is>
      </c>
      <c r="C33" s="20" t="n"/>
      <c r="D33" s="4" t="inlineStr">
        <is>
          <t>DISTRIBUICAO</t>
        </is>
      </c>
    </row>
    <row r="34">
      <c r="A34" s="19" t="inlineStr">
        <is>
          <t>H. DEMOCRATIZAÇÃO</t>
        </is>
      </c>
      <c r="B34" s="4" t="inlineStr">
        <is>
          <t>Descrevi a medida de democratização concreta (onde, para quem, quantos).</t>
        </is>
      </c>
      <c r="C34" s="20" t="n"/>
      <c r="D34" s="4" t="inlineStr">
        <is>
          <t>Salic – democratização</t>
        </is>
      </c>
    </row>
    <row r="35">
      <c r="A35" s="19" t="inlineStr">
        <is>
          <t>I. CRONOGRAMA</t>
        </is>
      </c>
      <c r="B35" s="4" t="inlineStr">
        <is>
          <t>Nenhuma atividade com fim antes do início ou fora do período do projeto.</t>
        </is>
      </c>
      <c r="C35" s="20" t="n"/>
      <c r="D35" s="4" t="inlineStr">
        <is>
          <t>CRONOGRAMA – alertas</t>
        </is>
      </c>
    </row>
    <row r="36">
      <c r="A36" s="19" t="inlineStr">
        <is>
          <t>I. CRONOGRAMA</t>
        </is>
      </c>
      <c r="B36" s="4" t="inlineStr">
        <is>
          <t>Divulgação acontece ANTES das atividades com público.</t>
        </is>
      </c>
      <c r="C36" s="20" t="n"/>
      <c r="D36" s="4" t="inlineStr">
        <is>
          <t>CRONOGRAMA</t>
        </is>
      </c>
    </row>
    <row r="37">
      <c r="A37" s="19" t="inlineStr">
        <is>
          <t>I. CRONOGRAMA</t>
        </is>
      </c>
      <c r="B37" s="4" t="inlineStr">
        <is>
          <t>Encerramento/prestação de contas está previsto.</t>
        </is>
      </c>
      <c r="C37" s="20" t="n"/>
      <c r="D37" s="4" t="inlineStr">
        <is>
          <t>CRONOGRAMA</t>
        </is>
      </c>
    </row>
    <row r="38">
      <c r="A38" s="19" t="inlineStr">
        <is>
          <t>I. CRONOGRAMA</t>
        </is>
      </c>
      <c r="B38" s="4" t="inlineStr">
        <is>
          <t>Não prometi no cronograma nada que o orçamento não paga.</t>
        </is>
      </c>
      <c r="C38" s="20" t="n"/>
      <c r="D38" s="4" t="inlineStr">
        <is>
          <t>MATRIZ</t>
        </is>
      </c>
    </row>
    <row r="39">
      <c r="A39" s="19" t="inlineStr">
        <is>
          <t>J. ORÇAMENTO</t>
        </is>
      </c>
      <c r="B39" s="4" t="inlineStr">
        <is>
          <t>Toda linha tem unidade, quantidade e valor unitário.</t>
        </is>
      </c>
      <c r="C39" s="20" t="n"/>
      <c r="D39" s="4" t="inlineStr">
        <is>
          <t>ORÇAMENTO – alertas</t>
        </is>
      </c>
    </row>
    <row r="40">
      <c r="A40" s="19" t="inlineStr">
        <is>
          <t>J. ORÇAMENTO</t>
        </is>
      </c>
      <c r="B40" s="4" t="inlineStr">
        <is>
          <t>Toda linha tem 'por que essa despesa existe' preenchido.</t>
        </is>
      </c>
      <c r="C40" s="20" t="n"/>
      <c r="D40" s="4" t="inlineStr">
        <is>
          <t>ORÇAMENTO – coluna M</t>
        </is>
      </c>
    </row>
    <row r="41">
      <c r="A41" s="19" t="inlineStr">
        <is>
          <t>J. ORÇAMENTO</t>
        </is>
      </c>
      <c r="B41" s="4" t="inlineStr">
        <is>
          <t>Preços conferidos com mercado (cotações/referências guardadas).</t>
        </is>
      </c>
      <c r="C41" s="20" t="n"/>
      <c r="D41" s="4" t="inlineStr">
        <is>
          <t>ORÇAMENTO – coluna N</t>
        </is>
      </c>
    </row>
    <row r="42">
      <c r="A42" s="19" t="inlineStr">
        <is>
          <t>J. ORÇAMENTO</t>
        </is>
      </c>
      <c r="B42" s="4" t="inlineStr">
        <is>
          <t>Remuneração do proponente (incluindo cônjuge/companheiro, coligada, sócio em comum) dentro do limite sobre o VALOR CAPTADO, e só por serviço efetivo.</t>
        </is>
      </c>
      <c r="C42" s="20" t="n"/>
      <c r="D42" s="4" t="inlineStr">
        <is>
          <t>RADAR – linha A</t>
        </is>
      </c>
    </row>
    <row r="43">
      <c r="A43" s="19" t="inlineStr">
        <is>
          <t>J. ORÇAMENTO</t>
        </is>
      </c>
      <c r="B43" s="4" t="inlineStr">
        <is>
          <t>Nenhum fornecedor acima do limite sobre o VALOR CAPTADO (ou exceção confirmada).</t>
        </is>
      </c>
      <c r="C43" s="20" t="n"/>
      <c r="D43" s="4" t="inlineStr">
        <is>
          <t>RADAR – linha B</t>
        </is>
      </c>
    </row>
    <row r="44">
      <c r="A44" s="19" t="inlineStr">
        <is>
          <t>J. ORÇAMENTO</t>
        </is>
      </c>
      <c r="B44" s="4" t="inlineStr">
        <is>
          <t>Administração ≤ 15% do VALOR DO PROJETO e sem despesa de produção disfarçada.</t>
        </is>
      </c>
      <c r="C44" s="20" t="n"/>
      <c r="D44" s="4" t="inlineStr">
        <is>
          <t>RADAR – linha C</t>
        </is>
      </c>
    </row>
    <row r="45">
      <c r="A45" s="19" t="inlineStr">
        <is>
          <t>J. ORÇAMENTO</t>
        </is>
      </c>
      <c r="B45" s="4" t="inlineStr">
        <is>
          <t>Divulgação dentro do limite sobre o VALOR DO PROJETO.</t>
        </is>
      </c>
      <c r="C45" s="20" t="n"/>
      <c r="D45" s="4" t="inlineStr">
        <is>
          <t>RADAR – linha D2</t>
        </is>
      </c>
    </row>
    <row r="46">
      <c r="A46" s="19" t="inlineStr">
        <is>
          <t>J. ORÇAMENTO</t>
        </is>
      </c>
      <c r="B46" s="4" t="inlineStr">
        <is>
          <t>Captação ≤ menor valor entre 10% do VALOR DO PROJETO e R$ 150.000.</t>
        </is>
      </c>
      <c r="C46" s="20" t="n"/>
      <c r="D46" s="4" t="inlineStr">
        <is>
          <t>RADAR – linha E</t>
        </is>
      </c>
    </row>
    <row r="47">
      <c r="A47" s="19" t="inlineStr">
        <is>
          <t>J. ORÇAMENTO</t>
        </is>
      </c>
      <c r="B47" s="4" t="inlineStr">
        <is>
          <t>Cachês dentro dos limites por apresentação (ou uso de outras fontes/CNIC justificado).</t>
        </is>
      </c>
      <c r="C47" s="20" t="n"/>
      <c r="D47" s="4" t="inlineStr">
        <is>
          <t>ORÇAMENTO – alertas</t>
        </is>
      </c>
    </row>
    <row r="48">
      <c r="A48" s="19" t="inlineStr">
        <is>
          <t>J. ORÇAMENTO</t>
        </is>
      </c>
      <c r="B48" s="4" t="inlineStr">
        <is>
          <t>Testei o cenário de captação parcial (75% e 50%).</t>
        </is>
      </c>
      <c r="C48" s="20" t="n"/>
      <c r="D48" s="4" t="inlineStr">
        <is>
          <t>RADAR – cenários</t>
        </is>
      </c>
    </row>
    <row r="49">
      <c r="A49" s="19" t="inlineStr">
        <is>
          <t>K. FONTES DE RECURSOS</t>
        </is>
      </c>
      <c r="B49" s="4" t="inlineStr">
        <is>
          <t>Só declarei outras fontes que existem e estão comprometidas (carta/contrato).</t>
        </is>
      </c>
      <c r="C49" s="20" t="n"/>
      <c r="D49" s="4" t="inlineStr">
        <is>
          <t>CHECKLIST DOCUMENTOS</t>
        </is>
      </c>
    </row>
    <row r="50">
      <c r="A50" s="19" t="inlineStr">
        <is>
          <t>K. FONTES DE RECURSOS</t>
        </is>
      </c>
      <c r="B50" s="4" t="inlineStr">
        <is>
          <t>Nenhuma despesa está coberta por duas fontes (sem dupla cobertura).</t>
        </is>
      </c>
      <c r="C50" s="20" t="n"/>
      <c r="D50" s="4" t="inlineStr">
        <is>
          <t>ORÇAMENTO – coluna O</t>
        </is>
      </c>
    </row>
    <row r="51">
      <c r="A51" s="19" t="inlineStr">
        <is>
          <t>L. DOCUMENTOS</t>
        </is>
      </c>
      <c r="B51" s="4" t="inlineStr">
        <is>
          <t>Todos os documentos obrigatórios estão anexados ANTES do envio.</t>
        </is>
      </c>
      <c r="C51" s="20" t="n"/>
      <c r="D51" s="4" t="inlineStr">
        <is>
          <t>CHECKLIST DOCUMENTOS</t>
        </is>
      </c>
    </row>
    <row r="52">
      <c r="A52" s="19" t="inlineStr">
        <is>
          <t>L. DOCUMENTOS</t>
        </is>
      </c>
      <c r="B52" s="4" t="inlineStr">
        <is>
          <t>Documentos legíveis, dentro da validade e com nome de arquivo claro.</t>
        </is>
      </c>
      <c r="C52" s="20" t="n"/>
      <c r="D52" s="4" t="inlineStr">
        <is>
          <t>CHECKLIST DOCUMENTOS</t>
        </is>
      </c>
    </row>
    <row r="53">
      <c r="A53" s="19" t="inlineStr">
        <is>
          <t>M. CONFORMIDADE</t>
        </is>
      </c>
      <c r="B53" s="4" t="inlineStr">
        <is>
          <t>Conferi os limites no texto oficial vigente (e não em material de anos anteriores).</t>
        </is>
      </c>
      <c r="C53" s="20" t="n"/>
      <c r="D53" s="4" t="inlineStr">
        <is>
          <t>CONTROLE NORMATIVO</t>
        </is>
      </c>
    </row>
    <row r="54">
      <c r="A54" s="19" t="inlineStr">
        <is>
          <t>M. CONFORMIDADE</t>
        </is>
      </c>
      <c r="B54" s="4" t="inlineStr">
        <is>
          <t>Nenhuma remuneração do proponente escondida em outra rubrica.</t>
        </is>
      </c>
      <c r="C54" s="20" t="n"/>
      <c r="D54" s="4" t="inlineStr">
        <is>
          <t>ORÇAMENTO – coluna L</t>
        </is>
      </c>
    </row>
    <row r="55">
      <c r="A55" s="19" t="inlineStr">
        <is>
          <t>M. CONFORMIDADE</t>
        </is>
      </c>
      <c r="B55" s="4" t="inlineStr">
        <is>
          <t>Nenhuma despesa sem vínculo direto com o objeto do projeto.</t>
        </is>
      </c>
      <c r="C55" s="20" t="n"/>
      <c r="D55" s="4" t="inlineStr">
        <is>
          <t>ORÇAMENTO – alertas</t>
        </is>
      </c>
    </row>
    <row r="56">
      <c r="A56" s="19" t="inlineStr">
        <is>
          <t>N. REVISÃO FINAL</t>
        </is>
      </c>
      <c r="B56" s="4" t="inlineStr">
        <is>
          <t>Li a proposta inteira em voz alta, do começo ao fim, uma vez.</t>
        </is>
      </c>
      <c r="C56" s="20" t="n"/>
      <c r="D56" s="4" t="inlineStr">
        <is>
          <t>—</t>
        </is>
      </c>
    </row>
    <row r="57">
      <c r="A57" s="19" t="inlineStr">
        <is>
          <t>N. REVISÃO FINAL</t>
        </is>
      </c>
      <c r="B57" s="4" t="inlineStr">
        <is>
          <t>Números iguais em todos os campos (metas, público, datas, valores).</t>
        </is>
      </c>
      <c r="C57" s="20" t="n"/>
      <c r="D57" s="4" t="inlineStr">
        <is>
          <t>MATRIZ</t>
        </is>
      </c>
    </row>
    <row r="58">
      <c r="A58" s="19" t="inlineStr">
        <is>
          <t>N. REVISÃO FINAL</t>
        </is>
      </c>
      <c r="B58" s="4" t="inlineStr">
        <is>
          <t>Lista de pendências do Salic está zerada e salvei comprovante do envio.</t>
        </is>
      </c>
      <c r="C58" s="20" t="n"/>
      <c r="D58" s="4" t="inlineStr">
        <is>
          <t>Salic</t>
        </is>
      </c>
    </row>
    <row r="60">
      <c r="B60" s="5" t="inlineStr">
        <is>
          <t>SIM</t>
        </is>
      </c>
      <c r="C60">
        <f>COUNTIF(C5:C58,"SIM")</f>
        <v/>
      </c>
    </row>
    <row r="61">
      <c r="B61" s="5" t="inlineStr">
        <is>
          <t>NÃO</t>
        </is>
      </c>
      <c r="C61">
        <f>COUNTIF(C5:C58,"NÃO")</f>
        <v/>
      </c>
    </row>
    <row r="62">
      <c r="B62" s="5" t="inlineStr">
        <is>
          <t>N/A</t>
        </is>
      </c>
      <c r="C62">
        <f>COUNTIF(C5:C58,"N/A")</f>
        <v/>
      </c>
    </row>
    <row r="63">
      <c r="B63" s="5" t="inlineStr">
        <is>
          <t>Em branco</t>
        </is>
      </c>
      <c r="C63">
        <f>COUNTBLANK(C5:C58)</f>
        <v/>
      </c>
    </row>
    <row r="64">
      <c r="B64" s="12" t="inlineStr">
        <is>
          <t>RESULTADO</t>
        </is>
      </c>
      <c r="C64">
        <f>IF(C61&gt;0,"🔴 NÃO ENVIE AINDA: "&amp;C61&amp;" item(ns) NÃO",IF(C63&gt;0,"🟡 Faltam "&amp;C63&amp;" itens","🟢 Pronto para revisão final e envio"))</f>
        <v/>
      </c>
    </row>
  </sheetData>
  <mergeCells count="3">
    <mergeCell ref="A1:D1"/>
    <mergeCell ref="C64:D64"/>
    <mergeCell ref="A2:D2"/>
  </mergeCells>
  <conditionalFormatting sqref="C5:C58">
    <cfRule type="expression" priority="1" dxfId="0">
      <formula>C5="NÃO"</formula>
    </cfRule>
    <cfRule type="expression" priority="2" dxfId="2">
      <formula>C5="SIM"</formula>
    </cfRule>
  </conditionalFormatting>
  <conditionalFormatting sqref="C64">
    <cfRule type="expression" priority="3" dxfId="0">
      <formula>LEFT(C64,2)="🔴"</formula>
    </cfRule>
    <cfRule type="expression" priority="4" dxfId="1">
      <formula>LEFT(C64,2)="🟡"</formula>
    </cfRule>
    <cfRule type="expression" priority="5" dxfId="2">
      <formula>LEFT(C64,2)="🟢"</formula>
    </cfRule>
    <cfRule type="expression" priority="6" dxfId="0">
      <formula>ISNUMBER(SEARCH("🔴",C64))</formula>
    </cfRule>
    <cfRule type="expression" priority="7" dxfId="1">
      <formula>ISNUMBER(SEARCH("🟡",C64))</formula>
    </cfRule>
  </conditionalFormatting>
  <dataValidations count="1">
    <dataValidation sqref="C5:C58" showDropDown="0" showInputMessage="0" showErrorMessage="0" allowBlank="1" error="Escolha uma opção da lista." type="list">
      <formula1>"SIM,NÃO,N/A"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26" customWidth="1" min="3" max="3"/>
    <col width="70" customWidth="1" min="4" max="4"/>
    <col width="70" customWidth="1" min="5" max="5"/>
  </cols>
  <sheetData>
    <row r="1" ht="30" customHeight="1">
      <c r="A1" s="1" t="inlineStr">
        <is>
          <t>ÚLTIMA VERIFICAÇÃO NORMATIVA</t>
        </is>
      </c>
    </row>
    <row r="2" ht="45" customHeight="1">
      <c r="A2" s="2" t="inlineStr">
        <is>
          <t>Registre cada vez que você conferir a norma oficial. Se algo mudou, atualize a aba PARAMETROS.</t>
        </is>
      </c>
    </row>
    <row r="4" ht="42" customHeight="1">
      <c r="A4" s="14" t="inlineStr">
        <is>
          <t>Data</t>
        </is>
      </c>
      <c r="B4" s="14" t="inlineStr">
        <is>
          <t>Norma consultada</t>
        </is>
      </c>
      <c r="C4" s="14" t="inlineStr">
        <is>
          <t>Versão</t>
        </is>
      </c>
      <c r="D4" s="14" t="inlineStr">
        <is>
          <t>Alterações relevantes</t>
        </is>
      </c>
      <c r="E4" s="14" t="inlineStr">
        <is>
          <t>Link oficial</t>
        </is>
      </c>
    </row>
    <row r="5">
      <c r="A5" s="49" t="n">
        <v>46290</v>
      </c>
      <c r="B5" s="4" t="inlineStr">
        <is>
          <t>Instrução Normativa MinC nº 29/2026</t>
        </is>
      </c>
      <c r="C5" s="4" t="inlineStr">
        <is>
          <t>29/01/2026 (DOU 30/01/2026)</t>
        </is>
      </c>
      <c r="D5" s="4" t="inlineStr">
        <is>
          <t>Base deste kit. Revogou a IN MinC nº 23/2025. Novos limites por proponente, prazo máx. de execução de 36 meses, documentos obrigatórios na apresentação, acessibilidade reforçada.</t>
        </is>
      </c>
      <c r="E5" s="4" t="inlineStr">
        <is>
          <t>https://www.gov.br/cultura/pt-br/acesso-a-informacao/legislacao-e-normativas/instrucao-normativa-minc-no-29-de-29-de-janeiro-de-2026</t>
        </is>
      </c>
    </row>
    <row r="6">
      <c r="A6" s="49" t="n">
        <v>46290</v>
      </c>
      <c r="B6" s="4" t="inlineStr">
        <is>
          <t>Lei nº 8.313/1991 (Lei Rouanet)</t>
        </is>
      </c>
      <c r="C6" s="4" t="inlineStr">
        <is>
          <t>compilada</t>
        </is>
      </c>
      <c r="D6" s="4" t="inlineStr">
        <is>
          <t>Base legal do Pronac e do incentivo fiscal.</t>
        </is>
      </c>
      <c r="E6" s="4" t="inlineStr">
        <is>
          <t>https://www.planalto.gov.br/ccivil_03/leis/l8313cons.htm</t>
        </is>
      </c>
    </row>
    <row r="7">
      <c r="A7" s="49" t="n">
        <v>46290</v>
      </c>
      <c r="B7" s="4" t="inlineStr">
        <is>
          <t>Decreto nº 11.453/2023</t>
        </is>
      </c>
      <c r="C7" s="4" t="inlineStr">
        <is>
          <t>vigente</t>
        </is>
      </c>
      <c r="D7" s="4" t="inlineStr">
        <is>
          <t>Regulamenta os mecanismos de fomento do Pronac.</t>
        </is>
      </c>
      <c r="E7" s="4" t="inlineStr">
        <is>
          <t>https://www.planalto.gov.br/ccivil_03/_ato2023-2026/2023/decreto/d11453.htm</t>
        </is>
      </c>
    </row>
    <row r="8">
      <c r="A8" s="49" t="n">
        <v>46290</v>
      </c>
      <c r="B8" s="4" t="inlineStr">
        <is>
          <t>Manual do Proponente – IN 2026</t>
        </is>
      </c>
      <c r="C8" s="4" t="inlineStr">
        <is>
          <t>publicado pelo MinC</t>
        </is>
      </c>
      <c r="D8" s="4" t="inlineStr">
        <is>
          <t>Passo a passo no Salic.</t>
        </is>
      </c>
      <c r="E8" s="4" t="inlineStr">
        <is>
          <t>https://www.gov.br/cultura/pt-br/centrais-de-conteudo/marcas-e-logotipos/marcas-rouanet/ManualdoProponenteIN2026DEFINITIVO2.pdf</t>
        </is>
      </c>
    </row>
    <row r="9">
      <c r="A9" s="20" t="n"/>
      <c r="B9" s="20" t="n"/>
      <c r="C9" s="20" t="n"/>
      <c r="D9" s="20" t="n"/>
      <c r="E9" s="20" t="n"/>
    </row>
    <row r="10">
      <c r="A10" s="20" t="n"/>
      <c r="B10" s="20" t="n"/>
      <c r="C10" s="20" t="n"/>
      <c r="D10" s="20" t="n"/>
      <c r="E10" s="20" t="n"/>
    </row>
    <row r="11">
      <c r="A11" s="20" t="n"/>
      <c r="B11" s="20" t="n"/>
      <c r="C11" s="20" t="n"/>
      <c r="D11" s="20" t="n"/>
      <c r="E11" s="20" t="n"/>
    </row>
    <row r="12">
      <c r="A12" s="20" t="n"/>
      <c r="B12" s="20" t="n"/>
      <c r="C12" s="20" t="n"/>
      <c r="D12" s="20" t="n"/>
      <c r="E12" s="20" t="n"/>
    </row>
    <row r="13">
      <c r="A13" s="20" t="n"/>
      <c r="B13" s="20" t="n"/>
      <c r="C13" s="20" t="n"/>
      <c r="D13" s="20" t="n"/>
      <c r="E13" s="20" t="n"/>
    </row>
    <row r="14">
      <c r="A14" s="20" t="n"/>
      <c r="B14" s="20" t="n"/>
      <c r="C14" s="20" t="n"/>
      <c r="D14" s="20" t="n"/>
      <c r="E14" s="20" t="n"/>
    </row>
    <row r="15">
      <c r="A15" s="20" t="n"/>
      <c r="B15" s="20" t="n"/>
      <c r="C15" s="20" t="n"/>
      <c r="D15" s="20" t="n"/>
      <c r="E15" s="20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2026-09-25T15:11:33Z</dcterms:created>
  <dcterms:modified xsi:type="dcterms:W3CDTF">2026-09-25T15:11:33Z</dcterms:modified>
</cp:coreProperties>
</file>